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  <font>
      <color rgb="00000000"/>
    </font>
    <font>
      <i val="1"/>
      <color rgb="00404040"/>
    </font>
    <font>
      <b val="1"/>
    </font>
    <font>
      <b val="1"/>
      <i val="1"/>
      <color rgb="00808080"/>
      <sz val="9"/>
    </font>
    <font>
      <i val="1"/>
      <color rgb="00C00000"/>
      <sz val="9"/>
    </font>
    <font>
      <i val="1"/>
      <color rgb="007030A0"/>
      <sz val="9"/>
    </font>
    <font>
      <i val="1"/>
      <color rgb="00A0A0A0"/>
      <sz val="8"/>
    </font>
    <font>
      <b val="1"/>
      <color rgb="001F3864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5" fillId="0" borderId="1" pivotButton="0" quotePrefix="0" xfId="0"/>
    <xf numFmtId="10" fontId="0" fillId="0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3" customWidth="1" min="7" max="7"/>
    <col width="8" customWidth="1" min="8" max="8"/>
    <col width="44" customWidth="1" min="9" max="9"/>
  </cols>
  <sheetData>
    <row r="1">
      <c r="B1" s="1" t="inlineStr">
        <is>
          <t>MMM  —  Fundamental Analysis</t>
        </is>
      </c>
    </row>
    <row r="2">
      <c r="B2" s="2" t="inlineStr">
        <is>
          <t>Units: US$ millions (except per-share &amp; ratios)</t>
        </is>
      </c>
    </row>
    <row r="4">
      <c r="B4" t="inlineStr"/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2026-03 (run-rate)</t>
        </is>
      </c>
      <c r="G4" s="4" t="inlineStr">
        <is>
          <t>Peer median</t>
        </is>
      </c>
      <c r="H4" s="4" t="inlineStr">
        <is>
          <t>Rec.</t>
        </is>
      </c>
      <c r="I4" s="5" t="inlineStr">
        <is>
          <t>Definition / source</t>
        </is>
      </c>
    </row>
    <row r="5">
      <c r="B5" s="6" t="inlineStr">
        <is>
          <t>INCOME STATEMENT</t>
        </is>
      </c>
      <c r="C5" s="7" t="n"/>
      <c r="D5" s="7" t="n"/>
      <c r="E5" s="7" t="n"/>
      <c r="F5" s="7" t="n"/>
    </row>
    <row r="6">
      <c r="B6" s="8" t="inlineStr">
        <is>
          <t>Revenue</t>
        </is>
      </c>
      <c r="C6" s="9" t="n">
        <v>24610</v>
      </c>
      <c r="D6" s="9" t="n">
        <v>24575</v>
      </c>
      <c r="E6" s="9" t="n">
        <v>24948</v>
      </c>
      <c r="F6" s="9" t="n">
        <v>24120</v>
      </c>
    </row>
    <row r="7">
      <c r="B7" s="8" t="inlineStr">
        <is>
          <t>EBITDA</t>
        </is>
      </c>
      <c r="C7" s="9" t="n">
        <v>-8343</v>
      </c>
      <c r="D7" s="9" t="n">
        <v>7373</v>
      </c>
      <c r="E7" s="9" t="n">
        <v>6467</v>
      </c>
      <c r="F7" s="9" t="n">
        <v>5672</v>
      </c>
    </row>
    <row r="8">
      <c r="B8" s="8" t="inlineStr">
        <is>
          <t>EBIT (operating income)</t>
        </is>
      </c>
      <c r="C8" s="9" t="n">
        <v>-10330</v>
      </c>
      <c r="D8" s="9" t="n">
        <v>6010</v>
      </c>
      <c r="E8" s="9" t="n">
        <v>5159</v>
      </c>
      <c r="F8" s="9" t="n">
        <v>4368</v>
      </c>
    </row>
    <row r="9">
      <c r="B9" s="8" t="inlineStr">
        <is>
          <t>Net income</t>
        </is>
      </c>
      <c r="C9" s="9" t="n">
        <v>-6995</v>
      </c>
      <c r="D9" s="9" t="n">
        <v>4173</v>
      </c>
      <c r="E9" s="9" t="n">
        <v>3250</v>
      </c>
      <c r="F9" s="9" t="n">
        <v>2612</v>
      </c>
    </row>
    <row r="10">
      <c r="B10" s="8" t="inlineStr">
        <is>
          <t>D&amp;A</t>
        </is>
      </c>
      <c r="C10" s="9" t="n">
        <v>1987</v>
      </c>
      <c r="D10" s="9" t="n">
        <v>1363</v>
      </c>
      <c r="E10" s="9" t="n">
        <v>1308</v>
      </c>
      <c r="F10" s="9" t="n">
        <v>1304</v>
      </c>
    </row>
    <row r="11">
      <c r="B11" s="6" t="inlineStr">
        <is>
          <t>BALANCE SHEET</t>
        </is>
      </c>
      <c r="C11" s="7" t="n"/>
      <c r="D11" s="7" t="n"/>
      <c r="E11" s="7" t="n"/>
      <c r="F11" s="7" t="n"/>
    </row>
    <row r="12">
      <c r="B12" s="8" t="inlineStr">
        <is>
          <t>Total assets</t>
        </is>
      </c>
      <c r="C12" s="9" t="n">
        <v>50580</v>
      </c>
      <c r="D12" s="9" t="n">
        <v>39868</v>
      </c>
      <c r="E12" s="9" t="n">
        <v>37733</v>
      </c>
      <c r="F12" s="9" t="n">
        <v>35436</v>
      </c>
    </row>
    <row r="13">
      <c r="B13" s="8" t="inlineStr">
        <is>
          <t>Cash &amp; marketable securities</t>
        </is>
      </c>
      <c r="C13" s="9" t="n">
        <v>5785</v>
      </c>
      <c r="D13" s="9" t="n">
        <v>7728</v>
      </c>
      <c r="E13" s="9" t="n">
        <v>5933</v>
      </c>
      <c r="F13" s="9" t="n">
        <v>4149</v>
      </c>
    </row>
    <row r="14">
      <c r="B14" s="8" t="inlineStr">
        <is>
          <t>Non-marketable securities</t>
        </is>
      </c>
      <c r="C14" s="9" t="n">
        <v>73</v>
      </c>
      <c r="D14" s="9" t="n">
        <v>2505</v>
      </c>
      <c r="E14" s="9" t="n"/>
      <c r="F14" s="9" t="n"/>
    </row>
    <row r="15">
      <c r="B15" s="8" t="inlineStr">
        <is>
          <t>Current liabilities</t>
        </is>
      </c>
      <c r="C15" s="9" t="n">
        <v>15297</v>
      </c>
      <c r="D15" s="9" t="n">
        <v>11256</v>
      </c>
      <c r="E15" s="9" t="n">
        <v>9595</v>
      </c>
      <c r="F15" s="9" t="n">
        <v>9032</v>
      </c>
    </row>
    <row r="16">
      <c r="B16" s="8" t="inlineStr">
        <is>
          <t>Capital employed</t>
        </is>
      </c>
      <c r="C16" s="9">
        <f>C12-C13-C14-C15</f>
        <v/>
      </c>
      <c r="D16" s="9">
        <f>D12-D13-D14-D15</f>
        <v/>
      </c>
      <c r="E16" s="9">
        <f>E12-E13-E14-E15</f>
        <v/>
      </c>
      <c r="F16" s="9">
        <f>F12-F13-F14-F15</f>
        <v/>
      </c>
      <c r="I16" s="2" t="inlineStr">
        <is>
          <t>Total assets - cash - non-mktb sec. - current liabilities</t>
        </is>
      </c>
    </row>
    <row r="17">
      <c r="B17" s="8" t="inlineStr">
        <is>
          <t>Stockholders' equity</t>
        </is>
      </c>
      <c r="C17" s="9" t="n">
        <v>4807</v>
      </c>
      <c r="D17" s="9" t="n">
        <v>3842</v>
      </c>
      <c r="E17" s="9" t="n">
        <v>4702</v>
      </c>
      <c r="F17" s="9" t="n">
        <v>3263</v>
      </c>
    </row>
    <row r="18">
      <c r="B18" s="8" t="inlineStr">
        <is>
          <t>Total liabilities</t>
        </is>
      </c>
      <c r="C18" s="9" t="n">
        <v>45712</v>
      </c>
      <c r="D18" s="9" t="n">
        <v>35974</v>
      </c>
      <c r="E18" s="9" t="n">
        <v>32986</v>
      </c>
      <c r="F18" s="9" t="n">
        <v>32125</v>
      </c>
    </row>
    <row r="19">
      <c r="B19" s="8" t="inlineStr">
        <is>
          <t>Total debt</t>
        </is>
      </c>
      <c r="C19" s="9" t="n">
        <v>16751</v>
      </c>
      <c r="D19" s="9" t="n">
        <v>13044</v>
      </c>
      <c r="E19" s="9" t="n">
        <v>12602</v>
      </c>
      <c r="F19" s="9" t="n">
        <v>12556</v>
      </c>
      <c r="I19" s="2" t="inlineStr">
        <is>
          <t>Short-term + long-term interest-bearing debt</t>
        </is>
      </c>
    </row>
    <row r="20">
      <c r="B20" s="8" t="inlineStr">
        <is>
          <t>Net debt</t>
        </is>
      </c>
      <c r="C20" s="9" t="n">
        <v>10300</v>
      </c>
      <c r="D20" s="9" t="n">
        <v>7444</v>
      </c>
      <c r="E20" s="9" t="n">
        <v>7367</v>
      </c>
      <c r="F20" s="9" t="n">
        <v>8827</v>
      </c>
      <c r="I20" s="2" t="inlineStr">
        <is>
          <t>Total debt - cash &amp; equivalents</t>
        </is>
      </c>
    </row>
    <row r="21">
      <c r="B21" s="6" t="inlineStr">
        <is>
          <t>CASH FLOW</t>
        </is>
      </c>
      <c r="C21" s="7" t="n"/>
      <c r="D21" s="7" t="n"/>
      <c r="E21" s="7" t="n"/>
      <c r="F21" s="7" t="n"/>
    </row>
    <row r="22">
      <c r="B22" s="8" t="inlineStr">
        <is>
          <t>Operating cash flow</t>
        </is>
      </c>
      <c r="C22" s="9" t="n">
        <v>6680</v>
      </c>
      <c r="D22" s="9" t="n">
        <v>1819</v>
      </c>
      <c r="E22" s="9" t="n">
        <v>2306</v>
      </c>
      <c r="F22" s="9" t="n">
        <v>2296</v>
      </c>
    </row>
    <row r="23">
      <c r="B23" s="8" t="inlineStr">
        <is>
          <t>Cash dividend paid</t>
        </is>
      </c>
      <c r="C23" s="9" t="n">
        <v>3311</v>
      </c>
      <c r="D23" s="9" t="n">
        <v>1982</v>
      </c>
      <c r="E23" s="9" t="n">
        <v>1562</v>
      </c>
      <c r="F23" s="9" t="n">
        <v>1648</v>
      </c>
      <c r="I23" s="2" t="inlineStr">
        <is>
          <t>Common dividends paid (outflow, shown positive)</t>
        </is>
      </c>
    </row>
    <row r="24">
      <c r="B24" s="8" t="inlineStr">
        <is>
          <t>Repurchase of capital stock</t>
        </is>
      </c>
      <c r="C24" s="9" t="n">
        <v>33</v>
      </c>
      <c r="D24" s="9" t="n">
        <v>1801</v>
      </c>
      <c r="E24" s="9" t="n">
        <v>3251</v>
      </c>
      <c r="F24" s="9" t="n">
        <v>7996</v>
      </c>
      <c r="I24" s="2" t="inlineStr">
        <is>
          <t>Buybacks (outflow, shown positive)</t>
        </is>
      </c>
    </row>
    <row r="25">
      <c r="B25" s="8" t="inlineStr">
        <is>
          <t>CapEx</t>
        </is>
      </c>
      <c r="C25" s="9" t="n">
        <v>1615</v>
      </c>
      <c r="D25" s="9" t="n">
        <v>1181</v>
      </c>
      <c r="E25" s="9" t="n">
        <v>910</v>
      </c>
      <c r="F25" s="9" t="n">
        <v>900</v>
      </c>
    </row>
    <row r="26">
      <c r="B26" s="8" t="inlineStr">
        <is>
          <t>Free cash flow</t>
        </is>
      </c>
      <c r="C26" s="9" t="n">
        <v>5065</v>
      </c>
      <c r="D26" s="9" t="n">
        <v>638</v>
      </c>
      <c r="E26" s="9" t="n">
        <v>1396</v>
      </c>
      <c r="F26" s="9" t="n">
        <v>1396</v>
      </c>
    </row>
    <row r="27">
      <c r="B27" s="6" t="inlineStr">
        <is>
          <t>MARKET DATA</t>
        </is>
      </c>
      <c r="C27" s="7" t="n"/>
      <c r="D27" s="7" t="n"/>
      <c r="E27" s="7" t="n"/>
      <c r="F27" s="7" t="n"/>
    </row>
    <row r="28">
      <c r="B28" s="8" t="inlineStr">
        <is>
          <t>Total shares (diluted)</t>
        </is>
      </c>
      <c r="C28" s="9" t="n">
        <v>552.581136</v>
      </c>
      <c r="D28" s="9" t="n">
        <v>539.4703029999999</v>
      </c>
      <c r="E28" s="9" t="n">
        <v>530.279131</v>
      </c>
      <c r="F28" s="9" t="n">
        <v>521.567261</v>
      </c>
    </row>
    <row r="29">
      <c r="B29" s="8" t="inlineStr">
        <is>
          <t>Market price</t>
        </is>
      </c>
      <c r="C29" s="10" t="n">
        <v>85.87408447265625</v>
      </c>
      <c r="D29" s="10" t="n">
        <v>125.4830017089844</v>
      </c>
      <c r="E29" s="10" t="n">
        <v>158.5647735595703</v>
      </c>
      <c r="F29" s="10" t="n">
        <v>159.96</v>
      </c>
    </row>
    <row r="30">
      <c r="B30" s="8" t="inlineStr">
        <is>
          <t>Market cap.</t>
        </is>
      </c>
      <c r="C30" s="9">
        <f>C29*C28</f>
        <v/>
      </c>
      <c r="D30" s="9">
        <f>D29*D28</f>
        <v/>
      </c>
      <c r="E30" s="9">
        <f>E29*E28</f>
        <v/>
      </c>
      <c r="F30" s="9">
        <f>F29*F28</f>
        <v/>
      </c>
    </row>
    <row r="31">
      <c r="B31" s="6" t="inlineStr">
        <is>
          <t>VALUATION &amp; QUALITY RATIOS</t>
        </is>
      </c>
      <c r="C31" s="7" t="n"/>
      <c r="D31" s="7" t="n"/>
      <c r="E31" s="7" t="n"/>
      <c r="F31" s="7" t="n"/>
    </row>
    <row r="32">
      <c r="B32" s="8" t="inlineStr">
        <is>
          <t>1. Δ Revenue (YoY)</t>
        </is>
      </c>
      <c r="C32" s="11" t="n"/>
      <c r="D32" s="11">
        <f>D6/C6-1</f>
        <v/>
      </c>
      <c r="E32" s="11">
        <f>E6/D6-1</f>
        <v/>
      </c>
      <c r="F32" s="11">
        <f>F6/E6-1</f>
        <v/>
      </c>
      <c r="H32" s="12">
        <f>IF(NOT(ISNUMBER(F32)),"",IF(F32&gt;=0.1,"BUY",IF(F32&lt;0,"SELL","HOLD")))</f>
        <v/>
      </c>
      <c r="I32" s="2" t="inlineStr">
        <is>
          <t>YoY revenue growth</t>
        </is>
      </c>
    </row>
    <row r="33">
      <c r="B33" s="8" t="inlineStr">
        <is>
          <t>2. Δ Net income (YoY)</t>
        </is>
      </c>
      <c r="C33" s="11" t="n"/>
      <c r="D33" s="11">
        <f>IF(C9&lt;=0,1,D9/C9-1)</f>
        <v/>
      </c>
      <c r="E33" s="11">
        <f>IF(D9&lt;=0,1,E9/D9-1)</f>
        <v/>
      </c>
      <c r="F33" s="11">
        <f>IF(E9&lt;=0,1,F9/E9-1)</f>
        <v/>
      </c>
      <c r="H33" s="12">
        <f>IF(NOT(ISNUMBER(F33)),"",IF(F33&gt;=0.1,"BUY",IF(F33&lt;0,"SELL","HOLD")))</f>
        <v/>
      </c>
      <c r="I33" s="2" t="inlineStr">
        <is>
          <t>YoY earnings growth (capped at +100% when prior year &lt;= 0)</t>
        </is>
      </c>
    </row>
    <row r="34">
      <c r="B34" s="8" t="inlineStr">
        <is>
          <t>3. P/E (trailing)</t>
        </is>
      </c>
      <c r="C34" s="13">
        <f>C30/C9</f>
        <v/>
      </c>
      <c r="D34" s="13">
        <f>D30/D9</f>
        <v/>
      </c>
      <c r="E34" s="13">
        <f>E30/E9</f>
        <v/>
      </c>
      <c r="F34" s="13">
        <f>F30/F9</f>
        <v/>
      </c>
      <c r="G34" s="13" t="n">
        <v>30.69388994654683</v>
      </c>
      <c r="H34" s="12">
        <f>IF(OR(G34="",NOT(ISNUMBER(F34)),F34&lt;=0),"",IF(F34&lt;G34*0.9,"BUY",IF(F34&gt;G34*1.1,"SELL","HOLD")))</f>
        <v/>
      </c>
      <c r="I34" s="2" t="inlineStr">
        <is>
          <t>Market cap / net income; vs peer median</t>
        </is>
      </c>
    </row>
    <row r="35">
      <c r="B35" s="14" t="inlineStr">
        <is>
          <t xml:space="preserve">   Forward P/E</t>
        </is>
      </c>
      <c r="C35" s="13" t="n"/>
      <c r="D35" s="13">
        <f>IF(ISNUMBER(D33),D30/(D9*(1+D33)),D30/D9)</f>
        <v/>
      </c>
      <c r="E35" s="13">
        <f>IF(ISNUMBER(E33),E30/(E9*(1+E33)),E30/E9)</f>
        <v/>
      </c>
      <c r="F35" s="13">
        <f>IF(ISNUMBER(F33),F30/(F9*(1+F33)),F30/F9)</f>
        <v/>
      </c>
      <c r="G35" s="13" t="n">
        <v>30.80691612676976</v>
      </c>
      <c r="H35" s="12">
        <f>IF(OR(G35="",NOT(ISNUMBER(F35)),F35&lt;=0),"",IF(F35&lt;G35*0.9,"BUY",IF(F35&gt;G35*1.1,"SELL","HOLD")))</f>
        <v/>
      </c>
      <c r="I35" s="2" t="inlineStr">
        <is>
          <t>Market cap / (net income * (1 + earnings growth)); vs peer median</t>
        </is>
      </c>
    </row>
    <row r="36">
      <c r="B36" s="8" t="inlineStr">
        <is>
          <t>4. ROCE</t>
        </is>
      </c>
      <c r="C36" s="11">
        <f>C8/C16</f>
        <v/>
      </c>
      <c r="D36" s="11">
        <f>D8/D16</f>
        <v/>
      </c>
      <c r="E36" s="11">
        <f>E8/E16</f>
        <v/>
      </c>
      <c r="F36" s="11">
        <f>F8/F16</f>
        <v/>
      </c>
      <c r="G36" s="11" t="n">
        <v>0.1403874735991239</v>
      </c>
      <c r="H36" s="12">
        <f>IF(NOT(ISNUMBER(F36)),"",IF(F36&gt;=0.15,"BUY",IF(F36&lt;0.08,"SELL","HOLD")))</f>
        <v/>
      </c>
      <c r="I36" s="2" t="inlineStr">
        <is>
          <t>EBIT / capital employed (&gt;=15% BUY, &lt;8% SELL)</t>
        </is>
      </c>
    </row>
    <row r="37">
      <c r="B37" s="14" t="inlineStr">
        <is>
          <t xml:space="preserve">   Modified ROCE</t>
        </is>
      </c>
      <c r="C37" s="11">
        <f>C8/(C30-C17)</f>
        <v/>
      </c>
      <c r="D37" s="11">
        <f>D8/(D30-D17)</f>
        <v/>
      </c>
      <c r="E37" s="11">
        <f>E8/(E30-E17)</f>
        <v/>
      </c>
      <c r="F37" s="11">
        <f>F8/(F30-F17)</f>
        <v/>
      </c>
      <c r="G37" s="11" t="n">
        <v>0.06030593556429897</v>
      </c>
      <c r="I37" s="2" t="inlineStr">
        <is>
          <t>EBIT / (market cap - equity)</t>
        </is>
      </c>
    </row>
    <row r="38">
      <c r="B38" s="8" t="inlineStr">
        <is>
          <t>5. EV / EBITDA</t>
        </is>
      </c>
      <c r="C38" s="13">
        <f>(C30+C18-C13)/C7</f>
        <v/>
      </c>
      <c r="D38" s="13">
        <f>(D30+D18-D13)/D7</f>
        <v/>
      </c>
      <c r="E38" s="13">
        <f>(E30+E18-E13)/E7</f>
        <v/>
      </c>
      <c r="F38" s="13">
        <f>(F30+F18-F13)/F7</f>
        <v/>
      </c>
      <c r="G38" s="13" t="n">
        <v>19.66410645302897</v>
      </c>
      <c r="H38" s="12">
        <f>IF(OR(G38="",NOT(ISNUMBER(F38)),F38&lt;=0),"",IF(F38&lt;G38*0.9,"BUY",IF(F38&gt;G38*1.1,"SELL","HOLD")))</f>
        <v/>
      </c>
      <c r="I38" s="2" t="inlineStr">
        <is>
          <t>Enterprise value / EBITDA; vs peer median</t>
        </is>
      </c>
    </row>
    <row r="39">
      <c r="B39" s="8" t="inlineStr">
        <is>
          <t>6. P / B</t>
        </is>
      </c>
      <c r="C39" s="13">
        <f>C30/C17</f>
        <v/>
      </c>
      <c r="D39" s="13">
        <f>D30/D17</f>
        <v/>
      </c>
      <c r="E39" s="13">
        <f>E30/E17</f>
        <v/>
      </c>
      <c r="F39" s="13">
        <f>F30/F17</f>
        <v/>
      </c>
      <c r="G39" s="13" t="n">
        <v>5.169704890231788</v>
      </c>
      <c r="H39" s="12">
        <f>IF(OR(G39="",NOT(ISNUMBER(F39)),F39&lt;=0),"",IF(F39&lt;G39*0.9,"BUY",IF(F39&gt;G39*1.1,"SELL","HOLD")))</f>
        <v/>
      </c>
      <c r="I39" s="2" t="inlineStr">
        <is>
          <t>vs peer median</t>
        </is>
      </c>
    </row>
    <row r="40">
      <c r="B40" s="8" t="inlineStr">
        <is>
          <t>7. P / S</t>
        </is>
      </c>
      <c r="C40" s="13">
        <f>C30/C6</f>
        <v/>
      </c>
      <c r="D40" s="13">
        <f>D30/D6</f>
        <v/>
      </c>
      <c r="E40" s="13">
        <f>E30/E6</f>
        <v/>
      </c>
      <c r="F40" s="13">
        <f>F30/F6</f>
        <v/>
      </c>
      <c r="G40" s="13" t="n">
        <v>4.386234396048496</v>
      </c>
      <c r="H40" s="12">
        <f>IF(OR(G40="",NOT(ISNUMBER(F40)),F40&lt;=0),"",IF(F40&lt;G40*0.9,"BUY",IF(F40&gt;G40*1.1,"SELL","HOLD")))</f>
        <v/>
      </c>
      <c r="I40" s="2" t="inlineStr">
        <is>
          <t>vs peer median</t>
        </is>
      </c>
    </row>
    <row r="41">
      <c r="B41" s="8" t="inlineStr">
        <is>
          <t>8. EV / FCF</t>
        </is>
      </c>
      <c r="C41" s="13">
        <f>(C30+C18-C13)/C26</f>
        <v/>
      </c>
      <c r="D41" s="13">
        <f>(D30+D18-D13)/D26</f>
        <v/>
      </c>
      <c r="E41" s="13">
        <f>(E30+E18-E13)/E26</f>
        <v/>
      </c>
      <c r="F41" s="13">
        <f>(F30+F18-F13)/F26</f>
        <v/>
      </c>
      <c r="G41" s="13" t="n">
        <v>53.36893867314108</v>
      </c>
      <c r="H41" s="12">
        <f>IF(OR(G41="",NOT(ISNUMBER(F41)),F41&lt;=0),"",IF(F41&lt;G41*0.9,"BUY",IF(F41&gt;G41*1.1,"SELL","HOLD")))</f>
        <v/>
      </c>
      <c r="I41" s="2" t="inlineStr">
        <is>
          <t>vs peer median</t>
        </is>
      </c>
    </row>
    <row r="42">
      <c r="B42" s="8" t="inlineStr">
        <is>
          <t>9. Dividend yield</t>
        </is>
      </c>
      <c r="C42" s="15">
        <f>C23/C30</f>
        <v/>
      </c>
      <c r="D42" s="15">
        <f>D23/D30</f>
        <v/>
      </c>
      <c r="E42" s="15">
        <f>E23/E30</f>
        <v/>
      </c>
      <c r="F42" s="15">
        <f>F23/F30</f>
        <v/>
      </c>
      <c r="H42" s="12">
        <f>IF(NOT(ISNUMBER(F42)),"",IF(F42&gt;=0.03,"BUY",IF(F42&lt;0.01,"SELL","HOLD")))</f>
        <v/>
      </c>
      <c r="I42" s="2" t="inlineStr">
        <is>
          <t>Dividends paid / market cap (&gt;=3% BUY, &lt;1% SELL)</t>
        </is>
      </c>
    </row>
    <row r="43">
      <c r="B43" s="8" t="inlineStr">
        <is>
          <t>10. Total shareholder return</t>
        </is>
      </c>
      <c r="C43" s="11">
        <f>(C23+C24)/C30</f>
        <v/>
      </c>
      <c r="D43" s="11">
        <f>(D23+D24)/D30</f>
        <v/>
      </c>
      <c r="E43" s="11">
        <f>(E23+E24)/E30</f>
        <v/>
      </c>
      <c r="F43" s="11">
        <f>(F23+F24)/F30</f>
        <v/>
      </c>
      <c r="G43" s="11" t="n">
        <v>0.02984190241257705</v>
      </c>
      <c r="H43" s="12">
        <f>IF(NOT(ISNUMBER(F43)),"",IF(F43&gt;=0.05,"BUY",IF(F43&lt;0.02,"SELL","HOLD")))</f>
        <v/>
      </c>
      <c r="I43" s="2" t="inlineStr">
        <is>
          <t>(dividends + buybacks) / market cap (&gt;=5% BUY, &lt;2% SELL)</t>
        </is>
      </c>
    </row>
    <row r="44">
      <c r="B44" s="8" t="inlineStr">
        <is>
          <t>11. CapEx / EBITDA</t>
        </is>
      </c>
      <c r="C44" s="11">
        <f>C25/C7</f>
        <v/>
      </c>
      <c r="D44" s="11">
        <f>D25/D7</f>
        <v/>
      </c>
      <c r="E44" s="11">
        <f>E25/E7</f>
        <v/>
      </c>
      <c r="F44" s="11">
        <f>F25/F7</f>
        <v/>
      </c>
      <c r="G44" s="11" t="n">
        <v>0.1139414802065404</v>
      </c>
      <c r="I44" s="2" t="inlineStr">
        <is>
          <t>informational; vs peer median</t>
        </is>
      </c>
    </row>
    <row r="45">
      <c r="B45" s="8" t="inlineStr">
        <is>
          <t>12. CapEx / D&amp;A</t>
        </is>
      </c>
      <c r="C45" s="13">
        <f>C25/C10</f>
        <v/>
      </c>
      <c r="D45" s="13">
        <f>D25/D10</f>
        <v/>
      </c>
      <c r="E45" s="13">
        <f>E25/E10</f>
        <v/>
      </c>
      <c r="F45" s="13">
        <f>F25/F10</f>
        <v/>
      </c>
      <c r="G45" s="13" t="n">
        <v>0.6246498599439776</v>
      </c>
      <c r="I45" s="2" t="inlineStr">
        <is>
          <t>informational; vs peer median</t>
        </is>
      </c>
    </row>
    <row r="46">
      <c r="B46" s="8" t="inlineStr">
        <is>
          <t>13. Ratio de endeudamiento</t>
        </is>
      </c>
      <c r="C46" s="11">
        <f>C19/C12</f>
        <v/>
      </c>
      <c r="D46" s="11">
        <f>D19/D12</f>
        <v/>
      </c>
      <c r="E46" s="11">
        <f>E19/E12</f>
        <v/>
      </c>
      <c r="F46" s="11">
        <f>F19/F12</f>
        <v/>
      </c>
      <c r="G46" s="11" t="n">
        <v>0.3339906861813344</v>
      </c>
      <c r="H46" s="12">
        <f>IF(NOT(ISNUMBER(F46)),"",IF(F46&lt;=0.3,"BUY",IF(F46&gt;0.6,"SELL","HOLD")))</f>
        <v/>
      </c>
      <c r="I46" s="2" t="inlineStr">
        <is>
          <t>Total debt / total assets (&lt;=30% BUY, &gt;60% SELL)</t>
        </is>
      </c>
    </row>
    <row r="47">
      <c r="B47" s="8" t="inlineStr">
        <is>
          <t>14. Deuda financiera neta / activos (libros)</t>
        </is>
      </c>
      <c r="C47" s="11">
        <f>C20/(C20+C12)</f>
        <v/>
      </c>
      <c r="D47" s="11">
        <f>D20/(D20+D12)</f>
        <v/>
      </c>
      <c r="E47" s="11">
        <f>E20/(E20+E12)</f>
        <v/>
      </c>
      <c r="F47" s="11">
        <f>F20/(F20+F12)</f>
        <v/>
      </c>
      <c r="G47" s="11" t="n">
        <v>0.2155956463396451</v>
      </c>
      <c r="H47" s="12">
        <f>IF(NOT(ISNUMBER(F47)),"",IF(F47&lt;=0.2,"BUY",IF(F47&gt;0.4,"SELL","HOLD")))</f>
        <v/>
      </c>
      <c r="I47" s="2" t="inlineStr">
        <is>
          <t>Net debt / (net debt + total assets) (&lt;=20% BUY, &gt;40% SELL)</t>
        </is>
      </c>
    </row>
    <row r="48">
      <c r="B48" s="8" t="inlineStr">
        <is>
          <t>15. Deuda financiera neta / market cap</t>
        </is>
      </c>
      <c r="C48" s="11">
        <f>C20/C30</f>
        <v/>
      </c>
      <c r="D48" s="11">
        <f>D20/D30</f>
        <v/>
      </c>
      <c r="E48" s="11">
        <f>E20/E30</f>
        <v/>
      </c>
      <c r="F48" s="11">
        <f>F20/F30</f>
        <v/>
      </c>
      <c r="G48" s="11" t="n">
        <v>0.1075305376194765</v>
      </c>
      <c r="H48" s="12">
        <f>IF(NOT(ISNUMBER(F48)),"",IF(F48&lt;=0.15,"BUY",IF(F48&gt;0.4,"SELL","HOLD")))</f>
        <v/>
      </c>
      <c r="I48" s="2" t="inlineStr">
        <is>
          <t>Net debt / market cap (&lt;=15% BUY, &gt;40% SELL)</t>
        </is>
      </c>
    </row>
    <row r="49">
      <c r="B49" s="8" t="inlineStr">
        <is>
          <t>16. Price estimate (Trefis)</t>
        </is>
      </c>
      <c r="C49" s="10" t="n"/>
      <c r="D49" s="10" t="n"/>
      <c r="E49" s="10" t="n"/>
      <c r="F49" s="10" t="n"/>
      <c r="H49" s="12">
        <f>IF(OR(F49="",F29=""),"",IF(F49&gt;F29*1.1,"BUY",IF(F49&lt;F29*0.9,"SELL","HOLD")))</f>
        <v/>
      </c>
      <c r="I49" s="2" t="inlineStr">
        <is>
          <t>External target vs price (&gt;+10% BUY, &lt;-10% SELL)</t>
        </is>
      </c>
    </row>
    <row r="51">
      <c r="B51" s="16" t="inlineStr">
        <is>
          <t>Run-rate: 2026-03 (run-rate) annualizes reported year-to-date flows; balance-sheet items are the latest reported quarter (point-in-time).</t>
        </is>
      </c>
    </row>
    <row r="52">
      <c r="B52" s="17" t="inlineStr">
        <is>
          <t>Peers: GE, HON, EMR, ITW, DOV (Peer median column). Rec. compares the latest period; valuation multiples vs peer median, the rest vs absolute thresholds shown in Definition.</t>
        </is>
      </c>
    </row>
    <row r="53">
      <c r="B53" s="18" t="inlineStr">
        <is>
          <t>Source: Yahoo Finance via yfinance; Trefis price estimate via trefis.com public feed. Non-marketable securities are best-effort. Generated for MMM.</t>
        </is>
      </c>
    </row>
    <row r="55">
      <c r="B55" s="19" t="inlineStr">
        <is>
          <t>Observaciones</t>
        </is>
      </c>
    </row>
    <row r="56">
      <c r="B56" s="20" t="inlineStr">
        <is>
          <t>• Run-rate annualizes only 1 reported quarter(s) of the current fiscal year. For seasonal businesses (e.g. Dec fiscal year-end) this distorts cash-flow lines; re-run with --partial-method ttm for a seasonally complete view.</t>
        </is>
      </c>
    </row>
    <row r="57">
      <c r="B57" s="20" t="inlineStr">
        <is>
          <t>• Trefis price estimate for MMM is not in the public feed (only ~200 tickers exposed); enter it by hand.</t>
        </is>
      </c>
    </row>
  </sheetData>
  <conditionalFormatting sqref="H5:H50">
    <cfRule type="cellIs" priority="1" operator="equal" dxfId="0">
      <formula>"BUY"</formula>
    </cfRule>
    <cfRule type="cellIs" priority="2" operator="equal" dxfId="1">
      <formula>"HOLD"</formula>
    </cfRule>
    <cfRule type="cellIs" priority="3" operator="equal" dxfId="2">
      <formula>"SELL"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2026-07-02T13:01:22Z</dcterms:created>
  <dcterms:modified xmlns:dcterms="http://purl.org/dc/terms/" xmlns:xsi="http://www.w3.org/2001/XMLSchema-instance" xsi:type="dcterms:W3CDTF">2026-07-02T13:01:53Z</dcterms:modified>
</cp:coreProperties>
</file>