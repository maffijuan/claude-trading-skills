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color rgb="00000000"/>
    </font>
    <font>
      <i val="1"/>
      <color rgb="00404040"/>
    </font>
    <font>
      <b val="1"/>
    </font>
    <font>
      <b val="1"/>
      <i val="1"/>
      <color rgb="00808080"/>
      <sz val="9"/>
    </font>
    <font>
      <i val="1"/>
      <color rgb="00C00000"/>
      <sz val="9"/>
    </font>
    <font>
      <i val="1"/>
      <color rgb="007030A0"/>
      <sz val="9"/>
    </font>
    <font>
      <i val="1"/>
      <color rgb="00A0A0A0"/>
      <sz val="8"/>
    </font>
    <font>
      <b val="1"/>
      <color rgb="001F3864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5" fillId="0" borderId="1" pivotButton="0" quotePrefix="0" xfId="0"/>
    <xf numFmtId="10" fontId="0" fillId="0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8" customWidth="1" min="8" max="8"/>
    <col width="44" customWidth="1" min="9" max="9"/>
  </cols>
  <sheetData>
    <row r="1">
      <c r="B1" s="1" t="inlineStr">
        <is>
          <t>MSFT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2026-03 (run-rate)</t>
        </is>
      </c>
      <c r="G4" s="4" t="inlineStr">
        <is>
          <t>Peer median</t>
        </is>
      </c>
      <c r="H4" s="4" t="inlineStr">
        <is>
          <t>Rec.</t>
        </is>
      </c>
      <c r="I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211915</v>
      </c>
      <c r="D6" s="9" t="n">
        <v>245122</v>
      </c>
      <c r="E6" s="9" t="n">
        <v>281724</v>
      </c>
      <c r="F6" s="9" t="n">
        <v>322442.6666666666</v>
      </c>
    </row>
    <row r="7">
      <c r="B7" s="8" t="inlineStr">
        <is>
          <t>EBITDA</t>
        </is>
      </c>
      <c r="C7" s="9" t="n">
        <v>105140</v>
      </c>
      <c r="D7" s="9" t="n">
        <v>133009</v>
      </c>
      <c r="E7" s="9" t="n">
        <v>160165</v>
      </c>
      <c r="F7" s="9" t="n">
        <v>208700</v>
      </c>
    </row>
    <row r="8">
      <c r="B8" s="8" t="inlineStr">
        <is>
          <t>EBIT (operating income)</t>
        </is>
      </c>
      <c r="C8" s="9" t="n">
        <v>91279</v>
      </c>
      <c r="D8" s="9" t="n">
        <v>110722</v>
      </c>
      <c r="E8" s="9" t="n">
        <v>126012</v>
      </c>
      <c r="F8" s="9" t="n">
        <v>165465.3333333333</v>
      </c>
    </row>
    <row r="9">
      <c r="B9" s="8" t="inlineStr">
        <is>
          <t>Net income</t>
        </is>
      </c>
      <c r="C9" s="9" t="n">
        <v>72361</v>
      </c>
      <c r="D9" s="9" t="n">
        <v>88136</v>
      </c>
      <c r="E9" s="9" t="n">
        <v>101832</v>
      </c>
      <c r="F9" s="9" t="n">
        <v>130644</v>
      </c>
    </row>
    <row r="10">
      <c r="B10" s="8" t="inlineStr">
        <is>
          <t>D&amp;A</t>
        </is>
      </c>
      <c r="C10" s="9" t="n">
        <v>13861</v>
      </c>
      <c r="D10" s="9" t="n">
        <v>22287</v>
      </c>
      <c r="E10" s="9" t="n">
        <v>34153</v>
      </c>
      <c r="F10" s="9" t="n">
        <v>43234.66666666666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411976</v>
      </c>
      <c r="D12" s="9" t="n">
        <v>512163</v>
      </c>
      <c r="E12" s="9" t="n">
        <v>619003</v>
      </c>
      <c r="F12" s="9" t="n">
        <v>694228</v>
      </c>
    </row>
    <row r="13">
      <c r="B13" s="8" t="inlineStr">
        <is>
          <t>Cash &amp; marketable securities</t>
        </is>
      </c>
      <c r="C13" s="9" t="n">
        <v>111256</v>
      </c>
      <c r="D13" s="9" t="n">
        <v>75531</v>
      </c>
      <c r="E13" s="9" t="n">
        <v>94555</v>
      </c>
      <c r="F13" s="9" t="n">
        <v>78228</v>
      </c>
    </row>
    <row r="14">
      <c r="B14" s="8" t="inlineStr">
        <is>
          <t>Non-marketable securities</t>
        </is>
      </c>
      <c r="C14" s="9" t="n">
        <v>9879</v>
      </c>
      <c r="D14" s="9" t="n">
        <v>13100</v>
      </c>
      <c r="E14" s="9" t="n">
        <v>12673</v>
      </c>
      <c r="F14" s="9" t="n"/>
    </row>
    <row r="15">
      <c r="B15" s="8" t="inlineStr">
        <is>
          <t>Current liabilities</t>
        </is>
      </c>
      <c r="C15" s="9" t="n">
        <v>104149</v>
      </c>
      <c r="D15" s="9" t="n">
        <v>125286</v>
      </c>
      <c r="E15" s="9" t="n">
        <v>141218</v>
      </c>
      <c r="F15" s="9" t="n">
        <v>136661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I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206223</v>
      </c>
      <c r="D17" s="9" t="n">
        <v>268477</v>
      </c>
      <c r="E17" s="9" t="n">
        <v>343479</v>
      </c>
      <c r="F17" s="9" t="n">
        <v>414367</v>
      </c>
    </row>
    <row r="18">
      <c r="B18" s="8" t="inlineStr">
        <is>
          <t>Total liabilities</t>
        </is>
      </c>
      <c r="C18" s="9" t="n">
        <v>205753</v>
      </c>
      <c r="D18" s="9" t="n">
        <v>243686</v>
      </c>
      <c r="E18" s="9" t="n">
        <v>275524</v>
      </c>
      <c r="F18" s="9" t="n">
        <v>279861</v>
      </c>
    </row>
    <row r="19">
      <c r="B19" s="8" t="inlineStr">
        <is>
          <t>Total debt</t>
        </is>
      </c>
      <c r="C19" s="9" t="n">
        <v>59965</v>
      </c>
      <c r="D19" s="9" t="n">
        <v>67127</v>
      </c>
      <c r="E19" s="9" t="n">
        <v>60588</v>
      </c>
      <c r="F19" s="9" t="n">
        <v>56965</v>
      </c>
      <c r="I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12533</v>
      </c>
      <c r="D20" s="9" t="n">
        <v>33315</v>
      </c>
      <c r="E20" s="9" t="n">
        <v>12909</v>
      </c>
      <c r="F20" s="9" t="n">
        <v>8157</v>
      </c>
      <c r="I20" s="2" t="inlineStr">
        <is>
          <t>Total debt - cash &amp; equivalents</t>
        </is>
      </c>
    </row>
    <row r="21">
      <c r="B21" s="8" t="inlineStr">
        <is>
          <t>Goodwill &amp; intangibles</t>
        </is>
      </c>
      <c r="C21" s="9" t="n">
        <v>77252</v>
      </c>
      <c r="D21" s="9" t="n">
        <v>146817</v>
      </c>
      <c r="E21" s="9" t="n">
        <v>142113</v>
      </c>
      <c r="F21" s="9" t="n">
        <v>138986</v>
      </c>
      <c r="I21" s="2" t="inlineStr">
        <is>
          <t>For tangible book value (P/TBV)</t>
        </is>
      </c>
    </row>
    <row r="22">
      <c r="B22" s="6" t="inlineStr">
        <is>
          <t>CASH FLOW</t>
        </is>
      </c>
      <c r="C22" s="7" t="n"/>
      <c r="D22" s="7" t="n"/>
      <c r="E22" s="7" t="n"/>
      <c r="F22" s="7" t="n"/>
    </row>
    <row r="23">
      <c r="B23" s="8" t="inlineStr">
        <is>
          <t>Operating cash flow</t>
        </is>
      </c>
      <c r="C23" s="9" t="n">
        <v>87582</v>
      </c>
      <c r="D23" s="9" t="n">
        <v>118548</v>
      </c>
      <c r="E23" s="9" t="n">
        <v>136162</v>
      </c>
      <c r="F23" s="9" t="n">
        <v>169992</v>
      </c>
    </row>
    <row r="24">
      <c r="B24" s="8" t="inlineStr">
        <is>
          <t>Cash dividend paid</t>
        </is>
      </c>
      <c r="C24" s="9" t="n">
        <v>19800</v>
      </c>
      <c r="D24" s="9" t="n">
        <v>21771</v>
      </c>
      <c r="E24" s="9" t="n">
        <v>24082</v>
      </c>
      <c r="F24" s="9" t="n">
        <v>26249.33333333333</v>
      </c>
      <c r="I24" s="2" t="inlineStr">
        <is>
          <t>Common dividends paid (outflow, shown positive)</t>
        </is>
      </c>
    </row>
    <row r="25">
      <c r="B25" s="8" t="inlineStr">
        <is>
          <t>Repurchase of capital stock</t>
        </is>
      </c>
      <c r="C25" s="9" t="n">
        <v>22245</v>
      </c>
      <c r="D25" s="9" t="n">
        <v>17254</v>
      </c>
      <c r="E25" s="9" t="n">
        <v>18420</v>
      </c>
      <c r="F25" s="9" t="n">
        <v>23589.33333333333</v>
      </c>
      <c r="I25" s="2" t="inlineStr">
        <is>
          <t>Buybacks (outflow, shown positive)</t>
        </is>
      </c>
    </row>
    <row r="26">
      <c r="B26" s="8" t="inlineStr">
        <is>
          <t>CapEx</t>
        </is>
      </c>
      <c r="C26" s="9" t="n">
        <v>28107</v>
      </c>
      <c r="D26" s="9" t="n">
        <v>44477</v>
      </c>
      <c r="E26" s="9" t="n">
        <v>64551</v>
      </c>
      <c r="F26" s="9" t="n">
        <v>106861.3333333333</v>
      </c>
    </row>
    <row r="27">
      <c r="B27" s="8" t="inlineStr">
        <is>
          <t>Free cash flow</t>
        </is>
      </c>
      <c r="C27" s="9" t="n">
        <v>59475</v>
      </c>
      <c r="D27" s="9" t="n">
        <v>74071</v>
      </c>
      <c r="E27" s="9" t="n">
        <v>71611</v>
      </c>
      <c r="F27" s="9" t="n">
        <v>63130.66666666666</v>
      </c>
    </row>
    <row r="28">
      <c r="B28" s="6" t="inlineStr">
        <is>
          <t>MARKET DATA</t>
        </is>
      </c>
      <c r="C28" s="7" t="n"/>
      <c r="D28" s="7" t="n"/>
      <c r="E28" s="7" t="n"/>
      <c r="F28" s="7" t="n"/>
    </row>
    <row r="29">
      <c r="B29" s="8" t="inlineStr">
        <is>
          <t>Total shares (diluted)</t>
        </is>
      </c>
      <c r="C29" s="9" t="n">
        <v>7432</v>
      </c>
      <c r="D29" s="9" t="n">
        <v>7434.138859</v>
      </c>
      <c r="E29" s="9" t="n">
        <v>7434.158655</v>
      </c>
      <c r="F29" s="9" t="n">
        <v>7429</v>
      </c>
    </row>
    <row r="30">
      <c r="B30" s="8" t="inlineStr">
        <is>
          <t>Market price</t>
        </is>
      </c>
      <c r="C30" s="10" t="n">
        <v>332.6686401367188</v>
      </c>
      <c r="D30" s="10" t="n">
        <v>440.0345153808594</v>
      </c>
      <c r="E30" s="10" t="n">
        <v>493.4683837890625</v>
      </c>
      <c r="F30" s="10" t="n">
        <v>390.49</v>
      </c>
    </row>
    <row r="31">
      <c r="B31" s="8" t="inlineStr">
        <is>
          <t>Market cap.</t>
        </is>
      </c>
      <c r="C31" s="9">
        <f>C30*C29</f>
        <v/>
      </c>
      <c r="D31" s="9">
        <f>D30*D29</f>
        <v/>
      </c>
      <c r="E31" s="9">
        <f>E30*E29</f>
        <v/>
      </c>
      <c r="F31" s="9">
        <f>F30*F29</f>
        <v/>
      </c>
    </row>
    <row r="32">
      <c r="B32" s="6" t="inlineStr">
        <is>
          <t>VALUATION &amp; QUALITY RATIOS</t>
        </is>
      </c>
      <c r="C32" s="7" t="n"/>
      <c r="D32" s="7" t="n"/>
      <c r="E32" s="7" t="n"/>
      <c r="F32" s="7" t="n"/>
    </row>
    <row r="33">
      <c r="B33" s="8" t="inlineStr">
        <is>
          <t>1. Δ Revenue (YoY)</t>
        </is>
      </c>
      <c r="C33" s="11" t="n"/>
      <c r="D33" s="11">
        <f>D6/C6-1</f>
        <v/>
      </c>
      <c r="E33" s="11">
        <f>E6/D6-1</f>
        <v/>
      </c>
      <c r="F33" s="11">
        <f>F6/E6-1</f>
        <v/>
      </c>
      <c r="H33" s="12">
        <f>IF(NOT(ISNUMBER(F33)),"",IF(F33&gt;=0.1,"BUY",IF(F33&lt;0,"SELL","HOLD")))</f>
        <v/>
      </c>
      <c r="I33" s="2" t="inlineStr">
        <is>
          <t>YoY revenue growth</t>
        </is>
      </c>
    </row>
    <row r="34">
      <c r="B34" s="8" t="inlineStr">
        <is>
          <t>2. Δ Net income (YoY)</t>
        </is>
      </c>
      <c r="C34" s="11" t="n"/>
      <c r="D34" s="11">
        <f>IF(C9&lt;=0,1,D9/C9-1)</f>
        <v/>
      </c>
      <c r="E34" s="11">
        <f>IF(D9&lt;=0,1,E9/D9-1)</f>
        <v/>
      </c>
      <c r="F34" s="11">
        <f>IF(E9&lt;=0,1,F9/E9-1)</f>
        <v/>
      </c>
      <c r="H34" s="12">
        <f>IF(NOT(ISNUMBER(F34)),"",IF(F34&gt;=0.1,"BUY",IF(F34&lt;0,"SELL","HOLD")))</f>
        <v/>
      </c>
      <c r="I34" s="2" t="inlineStr">
        <is>
          <t>YoY earnings growth (capped at +100% when prior year &lt;= 0)</t>
        </is>
      </c>
    </row>
    <row r="35">
      <c r="B35" s="8" t="inlineStr">
        <is>
          <t>3. P/E (trailing)</t>
        </is>
      </c>
      <c r="C35" s="13">
        <f>IF(C9&gt;0,C31/C9,"n/m")</f>
        <v/>
      </c>
      <c r="D35" s="13">
        <f>IF(D9&gt;0,D31/D9,"n/m")</f>
        <v/>
      </c>
      <c r="E35" s="13">
        <f>IF(E9&gt;0,E31/E9,"n/m")</f>
        <v/>
      </c>
      <c r="F35" s="13">
        <f>IF(F9&gt;0,F31/F9,"n/m")</f>
        <v/>
      </c>
      <c r="G35" s="13" t="n">
        <v>42.61084708550334</v>
      </c>
      <c r="H35" s="12">
        <f>IF(OR(G35="",NOT(ISNUMBER(F35)),F35&lt;=0),"",IF(F35&lt;G35*0.9,"BUY",IF(F35&gt;G35*1.1,"SELL","HOLD")))</f>
        <v/>
      </c>
      <c r="I35" s="2" t="inlineStr">
        <is>
          <t>Market cap / net income; vs peer median (blank if losses)</t>
        </is>
      </c>
    </row>
    <row r="36">
      <c r="B36" s="14" t="inlineStr">
        <is>
          <t xml:space="preserve">   Forward P/E</t>
        </is>
      </c>
      <c r="C36" s="13" t="n"/>
      <c r="D36" s="13">
        <f>IF(D9&lt;=0,"n/m",IF(ISNUMBER(D34),D31/(D9*(1+D34)),D31/D9))</f>
        <v/>
      </c>
      <c r="E36" s="13">
        <f>IF(E9&lt;=0,"n/m",IF(ISNUMBER(E34),E31/(E9*(1+E34)),E31/E9))</f>
        <v/>
      </c>
      <c r="F36" s="13">
        <f>IF(F9&lt;=0,"n/m",IF(ISNUMBER(F34),F31/(F9*(1+F34)),F31/F9))</f>
        <v/>
      </c>
      <c r="G36" s="13" t="n">
        <v>35.58851909530535</v>
      </c>
      <c r="H36" s="12">
        <f>IF(OR(G36="",NOT(ISNUMBER(F36)),F36&lt;=0),"",IF(F36&lt;G36*0.9,"BUY",IF(F36&gt;G36*1.1,"SELL","HOLD")))</f>
        <v/>
      </c>
      <c r="I36" s="2" t="inlineStr">
        <is>
          <t>Market cap / (net income * (1 + earnings growth)); vs peer median</t>
        </is>
      </c>
    </row>
    <row r="37">
      <c r="B37" s="8" t="inlineStr">
        <is>
          <t>4. ROCE</t>
        </is>
      </c>
      <c r="C37" s="11">
        <f>IF(C16&gt;0,C8/C16,"n/m")</f>
        <v/>
      </c>
      <c r="D37" s="11">
        <f>IF(D16&gt;0,D8/D16,"n/m")</f>
        <v/>
      </c>
      <c r="E37" s="11">
        <f>IF(E16&gt;0,E8/E16,"n/m")</f>
        <v/>
      </c>
      <c r="F37" s="11">
        <f>IF(F16&gt;0,F8/F16,"n/m")</f>
        <v/>
      </c>
      <c r="G37" s="11" t="n">
        <v>0.3412310155168469</v>
      </c>
      <c r="H37" s="12">
        <f>IF(NOT(ISNUMBER(F37)),"",IF(F37&gt;=0.15,"BUY",IF(F37&lt;0.08,"SELL","HOLD")))</f>
        <v/>
      </c>
      <c r="I37" s="2" t="inlineStr">
        <is>
          <t>EBIT / capital employed (&gt;=15% BUY, &lt;8% SELL)</t>
        </is>
      </c>
    </row>
    <row r="38">
      <c r="B38" s="14" t="inlineStr">
        <is>
          <t xml:space="preserve">   ROE</t>
        </is>
      </c>
      <c r="C38" s="11">
        <f>IF(C17&gt;0,C9/C17,"n/m")</f>
        <v/>
      </c>
      <c r="D38" s="11">
        <f>IF(D17&gt;0,D9/D17,"n/m")</f>
        <v/>
      </c>
      <c r="E38" s="11">
        <f>IF(E17&gt;0,E9/E17,"n/m")</f>
        <v/>
      </c>
      <c r="F38" s="11">
        <f>IF(F17&gt;0,F9/F17,"n/m")</f>
        <v/>
      </c>
      <c r="G38" s="11" t="n">
        <v>0.3196118240895876</v>
      </c>
      <c r="H38" s="12">
        <f>IF(NOT(ISNUMBER(F38)),"",IF(F38&gt;=0.15,"BUY",IF(F38&lt;0.08,"SELL","HOLD")))</f>
        <v/>
      </c>
      <c r="I38" s="2" t="inlineStr">
        <is>
          <t>Net income / equity — blank if equity &lt; 0 (e.g. MCD buybacks). &gt;=15% BUY, &lt;8% SELL</t>
        </is>
      </c>
    </row>
    <row r="39">
      <c r="B39" s="14" t="inlineStr">
        <is>
          <t xml:space="preserve">   Acid ROCE</t>
        </is>
      </c>
      <c r="C39" s="11">
        <f>IF((C31-C17)&gt;0,C8/(C31-C17),"n/m")</f>
        <v/>
      </c>
      <c r="D39" s="11">
        <f>IF((D31-D17)&gt;0,D8/(D31-D17),"n/m")</f>
        <v/>
      </c>
      <c r="E39" s="11">
        <f>IF((E31-E17)&gt;0,E8/(E31-E17),"n/m")</f>
        <v/>
      </c>
      <c r="F39" s="11">
        <f>IF((F31-F17)&gt;0,F8/(F31-F17),"n/m")</f>
        <v/>
      </c>
      <c r="G39" s="11" t="n">
        <v>0.03349036044580939</v>
      </c>
      <c r="H39" s="12">
        <f>IF(NOT(ISNUMBER(F39)),"",IF(F39&gt;=0.05,"BUY",IF(F39&lt;0.04,"SELL","HOLD")))</f>
        <v/>
      </c>
      <c r="I39" s="2" t="inlineStr">
        <is>
          <t>EBIT / (market cap - equity) (&gt;=5% BUY, 4-5% HOLD, &lt;4% SELL)</t>
        </is>
      </c>
    </row>
    <row r="40">
      <c r="B40" s="8" t="inlineStr">
        <is>
          <t>5. EV / EBITDA</t>
        </is>
      </c>
      <c r="C40" s="13">
        <f>IF(C7&gt;0,(C31+C18-C13)/C7,"n/m")</f>
        <v/>
      </c>
      <c r="D40" s="13">
        <f>IF(D7&gt;0,(D31+D18-D13)/D7,"n/m")</f>
        <v/>
      </c>
      <c r="E40" s="13">
        <f>IF(E7&gt;0,(E31+E18-E13)/E7,"n/m")</f>
        <v/>
      </c>
      <c r="F40" s="13">
        <f>IF(F7&gt;0,(F31+F18-F13)/F7,"n/m")</f>
        <v/>
      </c>
      <c r="G40" s="13" t="n">
        <v>28.26743162465456</v>
      </c>
      <c r="H40" s="12">
        <f>IF(OR(G40="",NOT(ISNUMBER(F40)),F40&lt;=0),"",IF(F40&lt;G40*0.9,"BUY",IF(F40&gt;G40*1.1,"SELL","HOLD")))</f>
        <v/>
      </c>
      <c r="I40" s="2" t="inlineStr">
        <is>
          <t>Enterprise value / EBITDA; vs peer median (blank if EBITDA &lt; 0)</t>
        </is>
      </c>
    </row>
    <row r="41">
      <c r="B41" s="8" t="inlineStr">
        <is>
          <t>6. P / B</t>
        </is>
      </c>
      <c r="C41" s="13">
        <f>IF(C17&gt;0,C31/C17,"n/m")</f>
        <v/>
      </c>
      <c r="D41" s="13">
        <f>IF(D17&gt;0,D31/D17,"n/m")</f>
        <v/>
      </c>
      <c r="E41" s="13">
        <f>IF(E17&gt;0,E31/E17,"n/m")</f>
        <v/>
      </c>
      <c r="F41" s="13">
        <f>IF(F17&gt;0,F31/F17,"n/m")</f>
        <v/>
      </c>
      <c r="G41" s="13" t="n">
        <v>9.78837270623359</v>
      </c>
      <c r="H41" s="12">
        <f>IF(OR(G41="",NOT(ISNUMBER(F41)),F41&lt;=0),"",IF(F41&lt;G41*0.9,"BUY",IF(F41&gt;G41*1.1,"SELL","HOLD")))</f>
        <v/>
      </c>
      <c r="I41" s="2" t="inlineStr">
        <is>
          <t>vs peer median (blank if equity &lt; 0)</t>
        </is>
      </c>
    </row>
    <row r="42">
      <c r="B42" s="14" t="inlineStr">
        <is>
          <t xml:space="preserve">   P / TBV</t>
        </is>
      </c>
      <c r="C42" s="13">
        <f>IF((C17-C21)&gt;0,C31/(C17-C21),"n/m")</f>
        <v/>
      </c>
      <c r="D42" s="13">
        <f>IF((D17-D21)&gt;0,D31/(D17-D21),"n/m")</f>
        <v/>
      </c>
      <c r="E42" s="13">
        <f>IF((E17-E21)&gt;0,E31/(E17-E21),"n/m")</f>
        <v/>
      </c>
      <c r="F42" s="13">
        <f>IF((F17-F21)&gt;0,F31/(F17-F21),"n/m")</f>
        <v/>
      </c>
      <c r="G42" s="13" t="n">
        <v>23.73061927603218</v>
      </c>
      <c r="H42" s="12">
        <f>IF(OR(G42="",NOT(ISNUMBER(F42)),F42&lt;=0),"",IF(F42&lt;G42*0.9,"BUY",IF(F42&gt;G42*1.1,"SELL","HOLD")))</f>
        <v/>
      </c>
      <c r="I42" s="2" t="inlineStr">
        <is>
          <t>Price / tangible book — key for banks; blank if tangible book &lt; 0</t>
        </is>
      </c>
    </row>
    <row r="43">
      <c r="B43" s="8" t="inlineStr">
        <is>
          <t>7. P / S</t>
        </is>
      </c>
      <c r="C43" s="13">
        <f>C31/C6</f>
        <v/>
      </c>
      <c r="D43" s="13">
        <f>D31/D6</f>
        <v/>
      </c>
      <c r="E43" s="13">
        <f>E31/E6</f>
        <v/>
      </c>
      <c r="F43" s="13">
        <f>F31/F6</f>
        <v/>
      </c>
      <c r="G43" s="13" t="n">
        <v>8.074736404990698</v>
      </c>
      <c r="H43" s="12">
        <f>IF(OR(G43="",NOT(ISNUMBER(F43)),F43&lt;=0),"",IF(F43&lt;G43*0.9,"BUY",IF(F43&gt;G43*1.1,"SELL","HOLD")))</f>
        <v/>
      </c>
      <c r="I43" s="2" t="inlineStr">
        <is>
          <t>vs peer median</t>
        </is>
      </c>
    </row>
    <row r="44">
      <c r="B44" s="8" t="inlineStr">
        <is>
          <t>8. EV / FCF</t>
        </is>
      </c>
      <c r="C44" s="13">
        <f>IF(C27&gt;0,(C31+C18-C13)/C27,"n/m")</f>
        <v/>
      </c>
      <c r="D44" s="13">
        <f>IF(D27&gt;0,(D31+D18-D13)/D27,"n/m")</f>
        <v/>
      </c>
      <c r="E44" s="13">
        <f>IF(E27&gt;0,(E31+E18-E13)/E27,"n/m")</f>
        <v/>
      </c>
      <c r="F44" s="13">
        <f>IF(F27&gt;0,(F31+F18-F13)/F27,"n/m")</f>
        <v/>
      </c>
      <c r="G44" s="13" t="n">
        <v>23.22802747031935</v>
      </c>
      <c r="H44" s="12">
        <f>IF(OR(G44="",NOT(ISNUMBER(F44)),F44&lt;=0),"",IF(F44&lt;G44*0.9,"BUY",IF(F44&gt;G44*1.1,"SELL","HOLD")))</f>
        <v/>
      </c>
      <c r="I44" s="2" t="inlineStr">
        <is>
          <t>vs peer median (blank if FCF &lt; 0)</t>
        </is>
      </c>
    </row>
    <row r="45">
      <c r="B45" s="8" t="inlineStr">
        <is>
          <t>9. Dividend yield</t>
        </is>
      </c>
      <c r="C45" s="15">
        <f>C24/C31</f>
        <v/>
      </c>
      <c r="D45" s="15">
        <f>D24/D31</f>
        <v/>
      </c>
      <c r="E45" s="15">
        <f>E24/E31</f>
        <v/>
      </c>
      <c r="F45" s="15">
        <f>F24/F31</f>
        <v/>
      </c>
      <c r="H45" s="12">
        <f>IF(NOT(ISNUMBER(F45)),"",IF(F45&gt;=0.03,"BUY",IF(F45&lt;0.01,"SELL","HOLD")))</f>
        <v/>
      </c>
      <c r="I45" s="2" t="inlineStr">
        <is>
          <t>Dividends paid / market cap (&gt;=3% BUY, &lt;1% SELL)</t>
        </is>
      </c>
    </row>
    <row r="46">
      <c r="B46" s="8" t="inlineStr">
        <is>
          <t>10. Total shareholder return</t>
        </is>
      </c>
      <c r="C46" s="11">
        <f>(C24+C25)/C31</f>
        <v/>
      </c>
      <c r="D46" s="11">
        <f>(D24+D25)/D31</f>
        <v/>
      </c>
      <c r="E46" s="11">
        <f>(E24+E25)/E31</f>
        <v/>
      </c>
      <c r="F46" s="11">
        <f>(F24+F25)/F31</f>
        <v/>
      </c>
      <c r="G46" s="11" t="n">
        <v>0.05493621246635302</v>
      </c>
      <c r="H46" s="12">
        <f>IF(NOT(ISNUMBER(F46)),"",IF(F46&gt;=0.05,"BUY",IF(F46&lt;0.02,"SELL","HOLD")))</f>
        <v/>
      </c>
      <c r="I46" s="2" t="inlineStr">
        <is>
          <t>(dividends + buybacks) / market cap (&gt;=5% BUY, &lt;2% SELL)</t>
        </is>
      </c>
    </row>
    <row r="47">
      <c r="B47" s="8" t="inlineStr">
        <is>
          <t>11. CapEx / EBITDA</t>
        </is>
      </c>
      <c r="C47" s="11">
        <f>IF(C7&gt;0,C26/C7,"n/m")</f>
        <v/>
      </c>
      <c r="D47" s="11">
        <f>IF(D7&gt;0,D26/D7,"n/m")</f>
        <v/>
      </c>
      <c r="E47" s="11">
        <f>IF(E7&gt;0,E26/E7,"n/m")</f>
        <v/>
      </c>
      <c r="F47" s="11">
        <f>IF(F7&gt;0,F26/F7,"n/m")</f>
        <v/>
      </c>
      <c r="G47" s="11" t="n">
        <v>0.07579210003650097</v>
      </c>
      <c r="I47" s="2" t="inlineStr">
        <is>
          <t>informational; vs peer median</t>
        </is>
      </c>
    </row>
    <row r="48">
      <c r="B48" s="8" t="inlineStr">
        <is>
          <t>12. CapEx / D&amp;A</t>
        </is>
      </c>
      <c r="C48" s="13">
        <f>C26/C10</f>
        <v/>
      </c>
      <c r="D48" s="13">
        <f>D26/D10</f>
        <v/>
      </c>
      <c r="E48" s="13">
        <f>E26/E10</f>
        <v/>
      </c>
      <c r="F48" s="13">
        <f>F26/F10</f>
        <v/>
      </c>
      <c r="G48" s="13" t="n">
        <v>0.5997250759405619</v>
      </c>
      <c r="I48" s="2" t="inlineStr">
        <is>
          <t>informational; vs peer median</t>
        </is>
      </c>
    </row>
    <row r="49">
      <c r="B49" s="8" t="inlineStr">
        <is>
          <t>13. Ratio de endeudamiento</t>
        </is>
      </c>
      <c r="C49" s="11">
        <f>C19/C12</f>
        <v/>
      </c>
      <c r="D49" s="11">
        <f>D19/D12</f>
        <v/>
      </c>
      <c r="E49" s="11">
        <f>E19/E12</f>
        <v/>
      </c>
      <c r="F49" s="11">
        <f>F19/F12</f>
        <v/>
      </c>
      <c r="G49" s="11" t="n">
        <v>0.1108134798075446</v>
      </c>
      <c r="H49" s="12">
        <f>IF(NOT(ISNUMBER(F49)),"",IF(F49&lt;=0.3,"BUY",IF(F49&gt;0.6,"SELL","HOLD")))</f>
        <v/>
      </c>
      <c r="I49" s="2" t="inlineStr">
        <is>
          <t>Total debt / total assets (&lt;=30% BUY, &gt;60% SELL)</t>
        </is>
      </c>
    </row>
    <row r="50">
      <c r="B50" s="8" t="inlineStr">
        <is>
          <t>14. Deuda financiera neta / activos (libros)</t>
        </is>
      </c>
      <c r="C50" s="11">
        <f>C20/(C20+C12)</f>
        <v/>
      </c>
      <c r="D50" s="11">
        <f>D20/(D20+D12)</f>
        <v/>
      </c>
      <c r="E50" s="11">
        <f>E20/(E20+E12)</f>
        <v/>
      </c>
      <c r="F50" s="11">
        <f>F20/(F20+F12)</f>
        <v/>
      </c>
      <c r="G50" s="11" t="n">
        <v>0.09540954753657176</v>
      </c>
      <c r="H50" s="12">
        <f>IF(NOT(ISNUMBER(F50)),"",IF(F50&lt;=0.2,"BUY",IF(F50&gt;0.4,"SELL","HOLD")))</f>
        <v/>
      </c>
      <c r="I50" s="2" t="inlineStr">
        <is>
          <t>Net debt / (net debt + total assets) (&lt;=20% BUY, &gt;40% SELL)</t>
        </is>
      </c>
    </row>
    <row r="51">
      <c r="B51" s="8" t="inlineStr">
        <is>
          <t>15. Deuda financiera neta / market cap</t>
        </is>
      </c>
      <c r="C51" s="11">
        <f>C20/C31</f>
        <v/>
      </c>
      <c r="D51" s="11">
        <f>D20/D31</f>
        <v/>
      </c>
      <c r="E51" s="11">
        <f>E20/E31</f>
        <v/>
      </c>
      <c r="F51" s="11">
        <f>F20/F31</f>
        <v/>
      </c>
      <c r="G51" s="11" t="n">
        <v>0.01968785061141841</v>
      </c>
      <c r="H51" s="12">
        <f>IF(NOT(ISNUMBER(F51)),"",IF(F51&lt;=0.15,"BUY",IF(F51&gt;0.4,"SELL","HOLD")))</f>
        <v/>
      </c>
      <c r="I51" s="2" t="inlineStr">
        <is>
          <t>Net debt / market cap (&lt;=15% BUY, &gt;40% SELL)</t>
        </is>
      </c>
    </row>
    <row r="52">
      <c r="B52" s="8" t="inlineStr">
        <is>
          <t>16. Price estimate (Trefis)</t>
        </is>
      </c>
      <c r="C52" s="10" t="n"/>
      <c r="D52" s="10" t="n"/>
      <c r="E52" s="10" t="n"/>
      <c r="F52" s="10" t="n"/>
      <c r="H52" s="12">
        <f>IF(OR(F52="",F30=""),"",IF(F52&gt;F30*1.1,"BUY",IF(F52&lt;F30*0.9,"SELL","HOLD")))</f>
        <v/>
      </c>
      <c r="I52" s="2" t="inlineStr">
        <is>
          <t>External target vs price (&gt;+10% BUY, &lt;-10% SELL)</t>
        </is>
      </c>
    </row>
    <row r="54">
      <c r="B54" s="16" t="inlineStr">
        <is>
          <t>Run-rate: 2026-03 (run-rate) annualizes reported year-to-date flows; balance-sheet items are the latest reported quarter (point-in-time).</t>
        </is>
      </c>
    </row>
    <row r="55">
      <c r="B55" s="17" t="inlineStr">
        <is>
          <t>Auto peers (S&amp;P Information Technology): CRWD, FTNT, GEN, NOW, PANW, AAPL, ACN, ADBE (Peer median column). Rec. compares the latest period; valuation multiples vs peer median, the rest vs absolute thresholds shown in Definition.</t>
        </is>
      </c>
    </row>
    <row r="56">
      <c r="B56" s="18" t="inlineStr">
        <is>
          <t>Source: Yahoo Finance via yfinance; Trefis price estimate via trefis.com public feed. Non-marketable securities are best-effort. Generated for MSFT.</t>
        </is>
      </c>
    </row>
    <row r="58">
      <c r="B58" s="19" t="inlineStr">
        <is>
          <t>Observaciones</t>
        </is>
      </c>
    </row>
    <row r="59">
      <c r="B59" s="20" t="inlineStr">
        <is>
          <t>• Trefis price estimate for MSFT is not in the public feed (only ~200 tickers exposed); enter it by hand.</t>
        </is>
      </c>
    </row>
  </sheetData>
  <conditionalFormatting sqref="H5:H53">
    <cfRule type="cellIs" priority="1" operator="equal" dxfId="0">
      <formula>"BUY"</formula>
    </cfRule>
    <cfRule type="cellIs" priority="2" operator="equal" dxfId="1">
      <formula>"HOLD"</formula>
    </cfRule>
    <cfRule type="cellIs" priority="3" operator="equal" dxfId="2">
      <formula>"SELL"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2026-07-03T17:40:33Z</dcterms:created>
  <dcterms:modified xmlns:dcterms="http://purl.org/dc/terms/" xmlns:xsi="http://www.w3.org/2001/XMLSchema-instance" xsi:type="dcterms:W3CDTF">2026-07-03T17:40:45Z</dcterms:modified>
</cp:coreProperties>
</file>