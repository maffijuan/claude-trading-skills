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3" documentId="11_D9466953C12FC7A81F56412A55DA8920E50C784B" xr6:coauthVersionLast="47" xr6:coauthVersionMax="47" xr10:uidLastSave="{FD0DFEBD-F960-42C5-8181-EA4660AD1EA1}"/>
  <bookViews>
    <workbookView xWindow="0" yWindow="0" windowWidth="16384" windowHeight="8192" tabRatio="500" activeTab="2" xr2:uid="{00000000-000D-0000-FFFF-FFFF00000000}"/>
  </bookViews>
  <sheets>
    <sheet name="MSFT" sheetId="1" r:id="rId1"/>
    <sheet name="PEP" sheetId="2" r:id="rId2"/>
    <sheet name="GOOGL"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6" i="3" l="1"/>
  <c r="F36" i="3"/>
  <c r="E36" i="3"/>
  <c r="D36" i="3"/>
  <c r="G35" i="3"/>
  <c r="F35" i="3"/>
  <c r="E35" i="3"/>
  <c r="D35" i="3"/>
  <c r="G26" i="3"/>
  <c r="F26" i="3"/>
  <c r="E26" i="3"/>
  <c r="G25" i="3"/>
  <c r="F25" i="3"/>
  <c r="E25" i="3"/>
  <c r="G18" i="3"/>
  <c r="F18" i="3"/>
  <c r="E18" i="3"/>
  <c r="D18" i="3"/>
  <c r="G14" i="3"/>
  <c r="G28" i="3" s="1"/>
  <c r="F14" i="3"/>
  <c r="F28" i="3" s="1"/>
  <c r="E14" i="3"/>
  <c r="E28" i="3" s="1"/>
  <c r="D14" i="3"/>
  <c r="D28" i="3" s="1"/>
  <c r="G36" i="2"/>
  <c r="F36" i="2"/>
  <c r="E36" i="2"/>
  <c r="D36" i="2"/>
  <c r="G35" i="2"/>
  <c r="F35" i="2"/>
  <c r="E35" i="2"/>
  <c r="D35" i="2"/>
  <c r="G26" i="2"/>
  <c r="F26" i="2"/>
  <c r="E26" i="2"/>
  <c r="G25" i="2"/>
  <c r="F25" i="2"/>
  <c r="E25" i="2"/>
  <c r="G18" i="2"/>
  <c r="F18" i="2"/>
  <c r="E18" i="2"/>
  <c r="D18" i="2"/>
  <c r="G14" i="2"/>
  <c r="G28" i="2" s="1"/>
  <c r="F14" i="2"/>
  <c r="F28" i="2" s="1"/>
  <c r="E14" i="2"/>
  <c r="E28" i="2" s="1"/>
  <c r="D14" i="2"/>
  <c r="D28" i="2" s="1"/>
  <c r="F36" i="1"/>
  <c r="E36" i="1"/>
  <c r="D36" i="1"/>
  <c r="F35" i="1"/>
  <c r="E35" i="1"/>
  <c r="D35" i="1"/>
  <c r="F26" i="1"/>
  <c r="E26" i="1"/>
  <c r="F25" i="1"/>
  <c r="E25" i="1"/>
  <c r="G22" i="1"/>
  <c r="G21" i="1"/>
  <c r="G20" i="1"/>
  <c r="G18" i="1"/>
  <c r="F18" i="1"/>
  <c r="E18" i="1"/>
  <c r="D18" i="1"/>
  <c r="G14" i="1"/>
  <c r="F14" i="1"/>
  <c r="F28" i="1" s="1"/>
  <c r="E14" i="1"/>
  <c r="E28" i="1" s="1"/>
  <c r="D14" i="1"/>
  <c r="D28" i="1" s="1"/>
  <c r="G9" i="1"/>
  <c r="G8" i="1"/>
  <c r="G26" i="1" s="1"/>
  <c r="G7" i="1"/>
  <c r="G6" i="1"/>
  <c r="G5" i="1"/>
  <c r="G25" i="1" s="1"/>
  <c r="G29" i="1" l="1"/>
  <c r="G28" i="1"/>
  <c r="D33" i="1"/>
  <c r="D32" i="1"/>
  <c r="D31" i="1"/>
  <c r="D30" i="1"/>
  <c r="D29" i="1"/>
  <c r="E33" i="1"/>
  <c r="E32" i="1"/>
  <c r="E31" i="1"/>
  <c r="E30" i="1"/>
  <c r="E29" i="1"/>
  <c r="E27" i="1"/>
  <c r="F33" i="1"/>
  <c r="F32" i="1"/>
  <c r="F31" i="1"/>
  <c r="F30" i="1"/>
  <c r="F29" i="1"/>
  <c r="F27" i="1"/>
  <c r="G33" i="1"/>
  <c r="G32" i="1"/>
  <c r="G31" i="1"/>
  <c r="G30" i="1"/>
  <c r="G27" i="1"/>
  <c r="G36" i="1"/>
  <c r="G35" i="1"/>
  <c r="D33" i="2"/>
  <c r="D32" i="2"/>
  <c r="D31" i="2"/>
  <c r="D30" i="2"/>
  <c r="D29" i="2"/>
  <c r="E33" i="2"/>
  <c r="E32" i="2"/>
  <c r="E31" i="2"/>
  <c r="E30" i="2"/>
  <c r="E29" i="2"/>
  <c r="E27" i="2"/>
  <c r="F33" i="2"/>
  <c r="F32" i="2"/>
  <c r="F31" i="2"/>
  <c r="F30" i="2"/>
  <c r="F29" i="2"/>
  <c r="F27" i="2"/>
  <c r="G33" i="2"/>
  <c r="G32" i="2"/>
  <c r="G31" i="2"/>
  <c r="G30" i="2"/>
  <c r="G29" i="2"/>
  <c r="G27" i="2"/>
  <c r="D33" i="3"/>
  <c r="D32" i="3"/>
  <c r="D31" i="3"/>
  <c r="D30" i="3"/>
  <c r="D29" i="3"/>
  <c r="E33" i="3"/>
  <c r="E32" i="3"/>
  <c r="E31" i="3"/>
  <c r="E30" i="3"/>
  <c r="E29" i="3"/>
  <c r="E27" i="3"/>
  <c r="F33" i="3"/>
  <c r="F32" i="3"/>
  <c r="F31" i="3"/>
  <c r="F30" i="3"/>
  <c r="F29" i="3"/>
  <c r="F27" i="3"/>
  <c r="G33" i="3"/>
  <c r="G32" i="3"/>
  <c r="G31" i="3"/>
  <c r="G30" i="3"/>
  <c r="G29" i="3"/>
  <c r="G2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6"/>
        </ext>
      </extLst>
    </bk>
    <bk>
      <extLst>
        <ext uri="{3e2802c4-a4d2-4d8b-9148-e3be6c30e623}">
          <xlrd:rvb i="9"/>
        </ext>
      </extLst>
    </bk>
    <bk>
      <extLst>
        <ext uri="{3e2802c4-a4d2-4d8b-9148-e3be6c30e623}">
          <xlrd:rvb i="12"/>
        </ext>
      </extLst>
    </bk>
  </futureMetadata>
  <valueMetadata count="3">
    <bk>
      <rc t="1" v="0"/>
    </bk>
    <bk>
      <rc t="1" v="1"/>
    </bk>
    <bk>
      <rc t="1" v="2"/>
    </bk>
  </valueMetadata>
</metadata>
</file>

<file path=xl/sharedStrings.xml><?xml version="1.0" encoding="utf-8"?>
<sst xmlns="http://schemas.openxmlformats.org/spreadsheetml/2006/main" count="121" uniqueCount="45">
  <si>
    <t>Revenue</t>
  </si>
  <si>
    <t>(run-rate)</t>
  </si>
  <si>
    <t>EBITDA</t>
  </si>
  <si>
    <t>EBIT</t>
  </si>
  <si>
    <t>Net income</t>
  </si>
  <si>
    <t>D&amp;A</t>
  </si>
  <si>
    <t>Total assets</t>
  </si>
  <si>
    <t>Cash &amp; mktb sec.</t>
  </si>
  <si>
    <t>Non-mktb sec.</t>
  </si>
  <si>
    <t>Current liabilities</t>
  </si>
  <si>
    <t>Capital employed</t>
  </si>
  <si>
    <t>Stockholders' equity</t>
  </si>
  <si>
    <t>Total shares</t>
  </si>
  <si>
    <t>Market price</t>
  </si>
  <si>
    <t>Market cap.</t>
  </si>
  <si>
    <t>Total liabilities</t>
  </si>
  <si>
    <t>CapEx</t>
  </si>
  <si>
    <t>FCF</t>
  </si>
  <si>
    <t>Operating CF</t>
  </si>
  <si>
    <t>D(Ventas) - YoY</t>
  </si>
  <si>
    <t>--</t>
  </si>
  <si>
    <t>D(Ganancias Normales) - YoY</t>
  </si>
  <si>
    <t>Forward P/E</t>
  </si>
  <si>
    <t>ROCE</t>
  </si>
  <si>
    <t>Mod. ROCE</t>
  </si>
  <si>
    <t>EV/EBITDA</t>
  </si>
  <si>
    <t>P/B</t>
  </si>
  <si>
    <t>P/S</t>
  </si>
  <si>
    <t>EV/FCF</t>
  </si>
  <si>
    <t>DY</t>
  </si>
  <si>
    <t>CapEx/EBITDA</t>
  </si>
  <si>
    <t>CpEx/D&amp;A</t>
  </si>
  <si>
    <t>Observaciones</t>
  </si>
  <si>
    <t>Gross y Operating Margins cayendo 1 a 2 pp, pero estables en el rango 67-69 y 47-49</t>
  </si>
  <si>
    <t>Guidance Q4 25: aumento sustancial del CapEx (&gt;$30 bn)</t>
  </si>
  <si>
    <t>Guidance Q1 26: CapEx a superar 2025 por fuerte demanda</t>
  </si>
  <si>
    <t>MSFT tiene un 27% de participación en OpenAI</t>
  </si>
  <si>
    <t xml:space="preserve">OpenAI hizo pedio a SEC para salir en bolsa de manera confidencial. </t>
  </si>
  <si>
    <t>Los balances filtrados parecen mostrar pérdidas por $24bn en 2025 (ingresos por 10 y gastos por 34)</t>
  </si>
  <si>
    <t>https://thenextweb.com/news/openai-spent-34bn-last-year-as-it-lines-up-for-an-ipo</t>
  </si>
  <si>
    <t>No le dan los ingresos para justificar la valuación a la que apunta: tendría que ganar todo el market-share de ads ($101 bn) para 2030</t>
  </si>
  <si>
    <t>https://thenextweb.com/news/openai-light-balance-sheet-ipo-scrutiny</t>
  </si>
  <si>
    <t>Planea aumentar el revenue por ads desde $2bn hoy a $102 bn en 2030</t>
  </si>
  <si>
    <t>72% del costo del revenue viene de MSFT: mercado lee conflicto de interés</t>
  </si>
  <si>
    <t>Market share de API volume cayó fuerte de 70-85% a 45-60%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</si>
</sst>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_ ;_-[$$-409]* \-#,##0\ ;_-[$$-409]* \-??_ ;_-@_ "/>
    <numFmt numFmtId="165" formatCode="_-&quot;$ &quot;* #,##0_-;&quot;-$ &quot;* #,##0_-;_-&quot;$ &quot;* \-??_-;_-@_-"/>
    <numFmt numFmtId="166" formatCode="_([$$-409]* #,##0_);_([$$-409]* \(#,##0\);_([$$-409]* \-_);_(@_)"/>
    <numFmt numFmtId="167" formatCode="0.0%"/>
    <numFmt numFmtId="168" formatCode="0.0"/>
  </numFmts>
  <fonts count="8">
    <font>
      <sz val="11"/>
      <color theme="1"/>
      <name val="Aptos Narrow"/>
      <family val="2"/>
      <charset val="1"/>
    </font>
    <font>
      <u/>
      <sz val="11"/>
      <color theme="10"/>
      <name val="Aptos Narrow"/>
      <family val="2"/>
      <charset val="1"/>
    </font>
    <font>
      <sz val="11"/>
      <color rgb="FF232A31"/>
      <name val="Aptos Display"/>
      <charset val="1"/>
    </font>
    <font>
      <sz val="11"/>
      <name val="Aptos Narrow"/>
      <charset val="1"/>
    </font>
    <font>
      <sz val="11"/>
      <color theme="1"/>
      <name val="Aptos Display"/>
      <scheme val="major"/>
    </font>
    <font>
      <sz val="11"/>
      <color rgb="FF232A31"/>
      <name val="Aptos Display"/>
      <scheme val="major"/>
    </font>
    <font>
      <b/>
      <sz val="11"/>
      <color theme="1"/>
      <name val="Aptos Display"/>
      <scheme val="major"/>
    </font>
    <font>
      <u/>
      <sz val="11"/>
      <color theme="10"/>
      <name val="Aptos Display"/>
      <scheme val="major"/>
    </font>
  </fonts>
  <fills count="4">
    <fill>
      <patternFill patternType="none"/>
    </fill>
    <fill>
      <patternFill patternType="gray125"/>
    </fill>
    <fill>
      <patternFill patternType="solid">
        <fgColor theme="9" tint="0.79989013336588644"/>
        <bgColor rgb="FFDDE0E4"/>
      </patternFill>
    </fill>
    <fill>
      <patternFill patternType="solid">
        <fgColor rgb="FFFFFFFF"/>
        <bgColor rgb="FFFFFFCC"/>
      </patternFill>
    </fill>
  </fills>
  <borders count="2">
    <border>
      <left/>
      <right/>
      <top/>
      <bottom/>
      <diagonal/>
    </border>
    <border>
      <left/>
      <right style="thin">
        <color rgb="FFDDE0E4"/>
      </right>
      <top/>
      <bottom/>
      <diagonal/>
    </border>
  </borders>
  <cellStyleXfs count="2">
    <xf numFmtId="0" fontId="0" fillId="0" borderId="0"/>
    <xf numFmtId="0" fontId="1" fillId="0" borderId="0"/>
  </cellStyleXfs>
  <cellXfs count="31">
    <xf numFmtId="0" fontId="0" fillId="0" borderId="0" xfId="0"/>
    <xf numFmtId="164" fontId="2" fillId="0" borderId="0" xfId="0" applyNumberFormat="1" applyFont="1"/>
    <xf numFmtId="2" fontId="0" fillId="0" borderId="0" xfId="0" applyNumberFormat="1"/>
    <xf numFmtId="0" fontId="3" fillId="0" borderId="0" xfId="0" applyFont="1"/>
    <xf numFmtId="17" fontId="3" fillId="0" borderId="0" xfId="0" applyNumberFormat="1" applyFont="1"/>
    <xf numFmtId="165" fontId="3" fillId="2" borderId="0" xfId="0" applyNumberFormat="1" applyFont="1" applyFill="1"/>
    <xf numFmtId="1" fontId="3" fillId="0" borderId="0" xfId="0" applyNumberFormat="1" applyFont="1"/>
    <xf numFmtId="166" fontId="3" fillId="2" borderId="0" xfId="0" applyNumberFormat="1" applyFont="1" applyFill="1"/>
    <xf numFmtId="167" fontId="3" fillId="0" borderId="0" xfId="0" applyNumberFormat="1" applyFont="1"/>
    <xf numFmtId="168" fontId="3" fillId="0" borderId="0" xfId="0" applyNumberFormat="1" applyFont="1"/>
    <xf numFmtId="9" fontId="3" fillId="0" borderId="0" xfId="0" applyNumberFormat="1" applyFont="1"/>
    <xf numFmtId="2" fontId="3" fillId="0" borderId="0" xfId="0" applyNumberFormat="1" applyFont="1"/>
    <xf numFmtId="10" fontId="3" fillId="0" borderId="0" xfId="0" applyNumberFormat="1" applyFont="1"/>
    <xf numFmtId="164" fontId="2" fillId="0" borderId="0" xfId="0" applyNumberFormat="1" applyFont="1" applyAlignment="1">
      <alignment horizontal="center"/>
    </xf>
    <xf numFmtId="0" fontId="4" fillId="0" borderId="0" xfId="0" applyFont="1"/>
    <xf numFmtId="17" fontId="4" fillId="0" borderId="0" xfId="0" applyNumberFormat="1" applyFont="1"/>
    <xf numFmtId="164" fontId="4" fillId="0" borderId="0" xfId="0" applyNumberFormat="1" applyFont="1"/>
    <xf numFmtId="1" fontId="4" fillId="0" borderId="0" xfId="0" applyNumberFormat="1" applyFont="1"/>
    <xf numFmtId="164" fontId="5" fillId="0" borderId="0" xfId="0" applyNumberFormat="1" applyFont="1"/>
    <xf numFmtId="165" fontId="4" fillId="2" borderId="0" xfId="0" applyNumberFormat="1" applyFont="1" applyFill="1"/>
    <xf numFmtId="3" fontId="4" fillId="0" borderId="0" xfId="0" applyNumberFormat="1" applyFont="1"/>
    <xf numFmtId="3" fontId="5" fillId="3" borderId="1" xfId="0" applyNumberFormat="1" applyFont="1" applyFill="1" applyBorder="1"/>
    <xf numFmtId="166" fontId="4" fillId="2" borderId="0" xfId="0" applyNumberFormat="1" applyFont="1" applyFill="1"/>
    <xf numFmtId="2" fontId="4" fillId="0" borderId="0" xfId="0" applyNumberFormat="1" applyFont="1"/>
    <xf numFmtId="167" fontId="4" fillId="0" borderId="0" xfId="0" applyNumberFormat="1" applyFont="1"/>
    <xf numFmtId="168" fontId="4" fillId="0" borderId="0" xfId="0" applyNumberFormat="1" applyFont="1"/>
    <xf numFmtId="9" fontId="4" fillId="0" borderId="0" xfId="0" applyNumberFormat="1" applyFont="1"/>
    <xf numFmtId="0" fontId="6" fillId="0" borderId="0" xfId="0" applyFont="1"/>
    <xf numFmtId="10" fontId="4" fillId="0" borderId="0" xfId="0" applyNumberFormat="1" applyFont="1"/>
    <xf numFmtId="0" fontId="4" fillId="0" borderId="0" xfId="0" applyFont="1" applyAlignment="1">
      <alignment vertical="center"/>
    </xf>
    <xf numFmtId="0" fontId="7" fillId="0" borderId="0" xfId="0" applyFont="1"/>
  </cellXfs>
  <cellStyles count="2">
    <cellStyle name="Hyperlink 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0E4"/>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32A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3">
  <rv s="0">
    <v>http://en.wikipedia.org/wiki/Public_domain</v>
    <v>Public domain</v>
  </rv>
  <rv s="0">
    <v>https://en.wikipedia.org/wiki/Microsoft</v>
    <v>Wikipedia</v>
  </rv>
  <rv s="1">
    <v>0</v>
    <v>1</v>
  </rv>
  <rv s="2">
    <v>7</v>
    <v>https://www.bing.com/th?id=AMMS_e6e837c7bf3a77408619758b7447855a&amp;qlt=95</v>
    <v>2</v>
    <v>0</v>
    <v>https://www.bing.com/images/search?form=xlimg&amp;q=microsoft</v>
    <v>Image of MICROSOFT CORPORATION</v>
  </rv>
  <rv s="0">
    <v>https://www.bing.com/financeapi/forcetrigger?t=a1xzim&amp;q=XNAS%3aMSFT&amp;form=skydnc</v>
    <v>Learn more on Bing</v>
  </rv>
  <rv s="3">
    <v>es-ES</v>
    <v>a1xzim</v>
    <v>268435456</v>
    <v>1</v>
    <v>Con tecnología de Refinitiv</v>
    <v>0</v>
    <v>1</v>
    <v>MICROSOFT CORPORATION (XNAS:MSFT)</v>
    <v>4</v>
    <v>5</v>
    <v>Finance</v>
    <v>6</v>
    <v>XNAS</v>
    <v>7428435000</v>
    <v>1993</v>
    <v>380.92</v>
    <v>1.1298999999999999</v>
    <v>14.11</v>
    <v>3.7825999999999999E-2</v>
    <v>2875770041550</v>
    <v>373.02</v>
    <v>Microsoft Corporation es una empresa de tecnología. La Compañía desarrolla y apoya software, servicios, dispositivos y soluciones. Los segmentos de la compañía incluyen Productividad y Procesos de Negocio, Nube Inteligente y más Informática Personal. El segmento Productividad y Procesos de Negocio está formado por productos y servicios en su cartera de servicios de productividad, comunicación e información. Este segmento comprende principalmente: Office Commercial, Office Consumer, LinkedIn y soluciones empresariales de Dynamics. El segmento de la nube inteligente consiste en productos de servidor y servicios en la nube, incluidos Azure y otros servicios en la nube, SQL Server, Windows Server, Visual Studio, System Center y Windows Server. licencias de acceso de clientes (CAL) relacionadas, Nuance y GitHub; y Servicios empresariales, incluidos los servicios de soporte empresarial, las soluciones de la industria y los servicios profesionales de Nuance. El segmento más personal de Computación comprende principalmente Windows, dispositivos, juegos y publicidad de búsqueda y noticias.</v>
    <v>228000</v>
    <v>XNAS</v>
    <v>46204.788516921093</v>
    <v>3</v>
    <v>Nasdaq Stock Market</v>
    <v>4</v>
    <v>388.83</v>
    <v>555.45000000000005</v>
    <v>374.89</v>
    <v>349.2</v>
    <v>USD</v>
    <v>MICROSOFT CORPORATION</v>
    <v>MICROSOFT CORPORATION</v>
    <v>23.057700000000001</v>
    <v>387.13</v>
    <v>Software &amp; IT Services</v>
    <v>One Microsoft Way, REDMOND, WA, 98052 US</v>
    <v>MSFT</v>
    <v>Acciones</v>
    <v>MICROSOFT CORPORATION (XNAS:MSFT)</v>
    <v>29951812</v>
    <v>48170264</v>
  </rv>
  <rv s="4">
    <v>5</v>
  </rv>
  <rv s="0">
    <v>https://www.bing.com/financeapi/forcetrigger?t=axyhnm&amp;q=XNAS%3aPEP&amp;form=skydnc</v>
    <v>Learn more on Bing</v>
  </rv>
  <rv s="5">
    <v>es-ES</v>
    <v>axyhnm</v>
    <v>268435456</v>
    <v>1</v>
    <v>Con tecnología de Refinitiv</v>
    <v>8</v>
    <v>9</v>
    <v>Pepsico, Inc. (XNAS:PEP)</v>
    <v>10</v>
    <v>11</v>
    <v>Finance</v>
    <v>6</v>
    <v>XNAS</v>
    <v>1366768000</v>
    <v>1986</v>
    <v>137.48500000000001</v>
    <v>0.36870000000000003</v>
    <v>5.8550000000000004</v>
    <v>4.3242000000000003E-2</v>
    <v>193062813840</v>
    <v>135.4</v>
    <v>PepsiCo, Inc. Es una compañía global de bebidas y alimentos convenientes. Los segmentos de la compañía incluyen PepsiCo Foods Norteamérica (PFNA), PepsiCo Beverages Norteamérica (PBNA), Franquicia Internacional de Bebidas (Franquicia IB), Europa, Medio Oriente y África (EMEA), Alimentos Latinoamericanos (LatAm Foods) y Asia Pacífico Foods. El segmento PFNA incluye todos sus negocios de alimentos convenientes en los Estados Unidos y Canadá. El segmento PBNA incluye todos sus negocios de bebidas en los Estados Unidos y Canadá. El segmento de franquicias de IB incluye sus negocios internacionales de bebidas de franquicia, así como su negocio SodaStream. El segmento EMEA incluye sus negocios de alimentos y bebidas convenientes con embotelladores propiedad de la compañía en Europa, Oriente Medio y África. El segmento LATAM Foods incluye todos sus negocios de alimentos convenientes en América Latina. El segmento Asia Pacific Foods consiste en sus negocios de alimentos convenientes en Asia Pacífico, incluyendo China, Australia y Nueva Zelanda, así como la India.</v>
    <v>306000</v>
    <v>XNAS</v>
    <v>46204.788475231253</v>
    <v>Nasdaq Stock Market</v>
    <v>7</v>
    <v>141.285</v>
    <v>171.48</v>
    <v>136.61000000000001</v>
    <v>132.47</v>
    <v>USD</v>
    <v>Pepsico, Inc.</v>
    <v>Pepsico, Inc.</v>
    <v>22.189299999999999</v>
    <v>141.255</v>
    <v>Beverages</v>
    <v>700 ANDERSON HILL RD, PURCHASE, NY, 10577 US</v>
    <v>PEP</v>
    <v>Acciones</v>
    <v>Pepsico, Inc. (XNAS:PEP)</v>
    <v>5457372</v>
    <v>9653865</v>
  </rv>
  <rv s="4">
    <v>8</v>
  </rv>
  <rv s="0">
    <v>https://www.bing.com/financeapi/forcetrigger?t=a1u3rw&amp;q=XNAS%3aGOOGL&amp;form=skydnc</v>
    <v>Learn more on Bing</v>
  </rv>
  <rv s="5">
    <v>es-ES</v>
    <v>a1u3rw</v>
    <v>268435456</v>
    <v>1</v>
    <v>Con tecnología de Refinitiv</v>
    <v>8</v>
    <v>9</v>
    <v>ALPHABET INC. (XNAS:GOOGL)</v>
    <v>10</v>
    <v>11</v>
    <v>Finance</v>
    <v>6</v>
    <v>XNAS</v>
    <v>12174560000</v>
    <v>2015</v>
    <v>358.28</v>
    <v>1.2467999999999999</v>
    <v>3.29</v>
    <v>9.2059999999999989E-3</v>
    <v>4390876809600</v>
    <v>357.37</v>
    <v>Alphabet Inc. Es una compañía holding. Los segmentos de la Compañía incluyen Google Services, Google Cloud y otras apuestas. El segmento de Servicios de Google incluye productos y servicios como anuncios, Android, Chrome, dispositivos, Google Maps, Google Maps, etc. Google Play, Búsqueda y YouTube. El segmento de Google Cloud incluye servicios de infraestructura y plataforma, herramientas de colaboración y otros servicios para clientes empresariales. Su otro segmento de apuestas se dedica a la venta de servicios relacionados con la salud y servicios de Internet. Google Cloud ofrece servicios en la nube listos para la empresa, incluidos Google Cloud Platform y Google Workspace. Google Cloud Platform proporciona acceso a soluciones como las ofertas de inteligencia artificial (IA), incluida su infraestructura de IA, la plataforma Vertex AI y Gemini para Google Cloud; ciberseguridad y datos y análisis. Google Workspace incluye herramientas de comunicación y colaboración basadas en la nube para empresas, como Calendar, Gmail, Docs, Drive, y reunirse.</v>
    <v>194668</v>
    <v>XNAS</v>
    <v>46204.788513726562</v>
    <v>Nasdaq Stock Market</v>
    <v>10</v>
    <v>362.97</v>
    <v>408.61</v>
    <v>356.43</v>
    <v>172.77</v>
    <v>USD</v>
    <v>ALPHABET INC.</v>
    <v>ALPHABET INC.</v>
    <v>27.4893</v>
    <v>360.66</v>
    <v>Software &amp; IT Services</v>
    <v>1600 Amphitheatre Parkway, MOUNTAIN VIEW, CA, 94043 US</v>
    <v>GOOGL</v>
    <v>Acciones</v>
    <v>ALPHABET INC. (XNAS:GOOGL)</v>
    <v>16401402</v>
    <v>38716945</v>
  </rv>
  <rv s="4">
    <v>11</v>
  </rv>
</rvData>
</file>

<file path=xl/richData/rdrichvaluestructure.xml><?xml version="1.0" encoding="utf-8"?>
<rvStructures xmlns="http://schemas.microsoft.com/office/spreadsheetml/2017/richdata" count="6">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rvStructures>
</file>

<file path=xl/richData/rdsupportingpropertybag.xml><?xml version="1.0" encoding="utf-8"?>
<supportingPropertyBags xmlns="http://schemas.microsoft.com/office/spreadsheetml/2017/richdata2">
  <spbArrays count="2">
    <a count="44">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Imagen</v>
      <v t="s">ExchangeID</v>
      <v t="s">%ProviderInfo</v>
    </a>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spbArrays>
  <spbData count="12">
    <spb s="0">
      <v>P/E</v>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0</v>
      <v>Name</v>
      <v>LearnMoreOnLink</v>
    </spb>
    <spb s="2">
      <v>0</v>
      <v>0</v>
    </spb>
    <spb s="3">
      <v>0</v>
      <v>0</v>
      <v>0</v>
    </spb>
    <spb s="4">
      <v>2</v>
      <v>3</v>
      <v>3</v>
      <v>3</v>
      <v>3</v>
    </spb>
    <spb s="5">
      <v>1</v>
      <v>1</v>
      <v>2</v>
      <v>3</v>
      <v>2</v>
      <v>2</v>
      <v>4</v>
      <v>2</v>
      <v>5</v>
      <v>2</v>
      <v>5</v>
      <v>6</v>
      <v>2</v>
      <v>5</v>
      <v>7</v>
      <v>8</v>
      <v>2</v>
      <v>2</v>
      <v>5</v>
      <v>9</v>
      <v>10</v>
    </spb>
    <spb s="6">
      <v xml:space="preserve">desde el cierre anterior </v>
      <v>Tiempo real Nasdaq Última venta</v>
      <v xml:space="preserve">desde el cierre anterior </v>
      <v>Origen: Nasdaq Última venta</v>
      <v>GMT</v>
    </spb>
    <spb s="7">
      <v>Con tecnología de Refinitiv</v>
    </spb>
    <spb s="8">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1</v>
      <v>Name</v>
      <v>LearnMoreOnLink</v>
    </spb>
    <spb s="9">
      <v>3</v>
      <v>3</v>
      <v>3</v>
      <v>3</v>
    </spb>
    <spb s="10">
      <v>1</v>
      <v>1</v>
      <v>2</v>
      <v>2</v>
      <v>2</v>
      <v>4</v>
      <v>2</v>
      <v>5</v>
      <v>2</v>
      <v>5</v>
      <v>6</v>
      <v>2</v>
      <v>5</v>
      <v>7</v>
      <v>8</v>
      <v>2</v>
      <v>2</v>
      <v>5</v>
      <v>9</v>
      <v>10</v>
    </spb>
  </spbData>
</supportingPropertyBags>
</file>

<file path=xl/richData/rdsupportingpropertybagstructure.xml><?xml version="1.0" encoding="utf-8"?>
<spbStructures xmlns="http://schemas.microsoft.com/office/spreadsheetml/2017/richdata2" count="11">
  <s>
    <k n="P/I" t="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k n="SubTitleProperty" t="s"/>
  </s>
  <s>
    <k n="ShowInDotNotation" t="b"/>
    <k n="ShowInAutoComplete" t="b"/>
  </s>
  <s>
    <k n="ShowInCardView" t="b"/>
    <k n="ShowInDotNotation" t="b"/>
    <k n="ShowInAutoComplete" t="b"/>
  </s>
  <s>
    <k n="Imagen" t="spb"/>
    <k n="ExchangeID" t="spb"/>
    <k n="UniqueName" t="spb"/>
    <k n="`%ProviderInfo" t="spb"/>
    <k n="LearnMoreOnLink" t="spb"/>
  </s>
  <s>
    <k n="P/I" t="i"/>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ExchangeID" t="s"/>
    <k n="Hora de la última operación" t="s"/>
  </s>
  <s>
    <k n="name"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HeroField" t="b"/>
    <rPr n="IsTitleField" t="b"/>
  </richProperties>
  <richStyles>
    <rSty dxfid="5">
      <rpv i="0">#,##0.00</rpv>
    </rSty>
    <rSty dxfid="1">
      <rpv i="0">_([$$-en-US]* #,##0.00_);_([$$-en-US]* (#,##0.00);_([$$-en-US]* "-"??_);_(@_)</rpv>
    </rSty>
    <rSty>
      <rpv i="1">1</rpv>
    </rSty>
    <rSty>
      <rpv i="2">1</rpv>
    </rSty>
    <rSty dxfid="4">
      <rpv i="0">#,##0</rpv>
    </rSty>
    <rSty dxfid="3"/>
    <rSty dxfid="0">
      <rpv i="0">0.00</rpv>
    </rSty>
    <rSty dxfid="6">
      <rpv i="0">0</rpv>
    </rSty>
    <rSty dxfid="1">
      <rpv i="0">_([$$-en-US]* #,##0_);_([$$-en-US]* (#,##0);_([$$-en-US]* "-"_);_(@_)</rpv>
    </rSty>
    <rSty dxfid="2"/>
  </richStyles>
</richStyleSheet>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henextweb.com/news/openai-light-balance-sheet-ipo-scrutiny" TargetMode="External"/><Relationship Id="rId1" Type="http://schemas.openxmlformats.org/officeDocument/2006/relationships/hyperlink" Target="https://thenextweb.com/news/openai-spent-34bn-last-year-as-it-lines-up-for-an-ip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48"/>
  <sheetViews>
    <sheetView zoomScaleNormal="100" workbookViewId="0">
      <selection sqref="A1:XFD1048576"/>
    </sheetView>
  </sheetViews>
  <sheetFormatPr defaultColWidth="11.42578125" defaultRowHeight="15"/>
  <cols>
    <col min="1" max="1" width="11.42578125" style="14"/>
    <col min="2" max="2" width="13.5703125" style="14" customWidth="1"/>
    <col min="3" max="3" width="26.42578125" style="14" customWidth="1"/>
    <col min="4" max="4" width="18" style="14" customWidth="1"/>
    <col min="5" max="6" width="16.7109375" style="14" customWidth="1"/>
    <col min="7" max="7" width="15.28515625" style="14" customWidth="1"/>
    <col min="8" max="8" width="11.42578125" style="14"/>
    <col min="9" max="9" width="12.140625" style="14" customWidth="1"/>
    <col min="10" max="10" width="23.5703125" style="14" customWidth="1"/>
    <col min="11" max="13" width="15.28515625" style="14" customWidth="1"/>
    <col min="14" max="14" width="16.42578125" style="14" customWidth="1"/>
    <col min="15" max="16384" width="11.42578125" style="14"/>
  </cols>
  <sheetData>
    <row r="2" spans="3:14" ht="15" customHeight="1">
      <c r="D2" s="14" t="e" vm="1">
        <v>#VALUE!</v>
      </c>
    </row>
    <row r="4" spans="3:14" ht="15" customHeight="1">
      <c r="D4" s="14">
        <v>2023</v>
      </c>
      <c r="E4" s="14">
        <v>2024</v>
      </c>
      <c r="F4" s="14">
        <v>2025</v>
      </c>
      <c r="G4" s="15">
        <v>46082</v>
      </c>
      <c r="J4" s="16"/>
      <c r="K4" s="17"/>
      <c r="L4" s="17"/>
      <c r="M4" s="17"/>
      <c r="N4" s="17"/>
    </row>
    <row r="5" spans="3:14" ht="15" customHeight="1">
      <c r="C5" s="14" t="s">
        <v>0</v>
      </c>
      <c r="D5" s="18">
        <v>211915000</v>
      </c>
      <c r="E5" s="18">
        <v>245122000</v>
      </c>
      <c r="F5" s="18">
        <v>281724000</v>
      </c>
      <c r="G5" s="18">
        <f>12/9*241832000</f>
        <v>322442666.66666663</v>
      </c>
      <c r="H5" s="14" t="s">
        <v>1</v>
      </c>
      <c r="J5" s="16"/>
      <c r="K5" s="16"/>
      <c r="L5" s="16"/>
      <c r="M5" s="16"/>
      <c r="N5" s="16"/>
    </row>
    <row r="6" spans="3:14" ht="15" customHeight="1">
      <c r="C6" s="14" t="s">
        <v>2</v>
      </c>
      <c r="D6" s="18">
        <v>105140000</v>
      </c>
      <c r="E6" s="18">
        <v>133009000</v>
      </c>
      <c r="F6" s="18">
        <v>160165000</v>
      </c>
      <c r="G6" s="18">
        <f>12/9*142146000</f>
        <v>189528000</v>
      </c>
      <c r="J6" s="16"/>
      <c r="K6" s="16"/>
      <c r="L6" s="16"/>
      <c r="M6" s="16"/>
      <c r="N6" s="16"/>
    </row>
    <row r="7" spans="3:14" ht="15" customHeight="1">
      <c r="C7" s="14" t="s">
        <v>3</v>
      </c>
      <c r="D7" s="18">
        <v>91279000</v>
      </c>
      <c r="E7" s="18">
        <v>110722000</v>
      </c>
      <c r="F7" s="18">
        <v>126012000</v>
      </c>
      <c r="G7" s="18">
        <f>12/9*114634000</f>
        <v>152845333.33333331</v>
      </c>
    </row>
    <row r="8" spans="3:14" ht="15" customHeight="1">
      <c r="C8" s="14" t="s">
        <v>4</v>
      </c>
      <c r="D8" s="18">
        <v>72361000</v>
      </c>
      <c r="E8" s="18">
        <v>88136000</v>
      </c>
      <c r="F8" s="18">
        <v>101832000</v>
      </c>
      <c r="G8" s="18">
        <f>12/9*97983000</f>
        <v>130644000</v>
      </c>
    </row>
    <row r="9" spans="3:14" ht="15" customHeight="1">
      <c r="C9" s="14" t="s">
        <v>5</v>
      </c>
      <c r="D9" s="18">
        <v>13861000</v>
      </c>
      <c r="E9" s="18">
        <v>22287000</v>
      </c>
      <c r="F9" s="18">
        <v>34153000</v>
      </c>
      <c r="G9" s="18">
        <f>27512000*12/9</f>
        <v>36682666.666666664</v>
      </c>
    </row>
    <row r="10" spans="3:14" ht="15" customHeight="1">
      <c r="C10" s="14" t="s">
        <v>6</v>
      </c>
      <c r="D10" s="18">
        <v>411976000</v>
      </c>
      <c r="E10" s="18">
        <v>512163000</v>
      </c>
      <c r="F10" s="18">
        <v>619003000</v>
      </c>
      <c r="G10" s="18">
        <v>694228000</v>
      </c>
    </row>
    <row r="11" spans="3:14" ht="15" customHeight="1">
      <c r="C11" s="14" t="s">
        <v>7</v>
      </c>
      <c r="D11" s="18">
        <v>34704000</v>
      </c>
      <c r="E11" s="18">
        <v>18315000</v>
      </c>
      <c r="F11" s="18">
        <v>30242000</v>
      </c>
      <c r="G11" s="18">
        <v>91436000</v>
      </c>
    </row>
    <row r="12" spans="3:14" ht="15" customHeight="1">
      <c r="C12" s="14" t="s">
        <v>8</v>
      </c>
      <c r="D12" s="18">
        <v>76552000</v>
      </c>
      <c r="E12" s="18">
        <v>57216000</v>
      </c>
      <c r="F12" s="18">
        <v>64313000</v>
      </c>
      <c r="G12" s="18">
        <v>20519000</v>
      </c>
    </row>
    <row r="13" spans="3:14" ht="15" customHeight="1">
      <c r="C13" s="14" t="s">
        <v>9</v>
      </c>
      <c r="D13" s="18">
        <v>104149000</v>
      </c>
      <c r="E13" s="18">
        <v>125286000</v>
      </c>
      <c r="F13" s="18">
        <v>141218000</v>
      </c>
      <c r="G13" s="18">
        <v>136661000</v>
      </c>
    </row>
    <row r="14" spans="3:14" ht="15" customHeight="1">
      <c r="C14" s="14" t="s">
        <v>10</v>
      </c>
      <c r="D14" s="19">
        <f>D10-D11-D12-D13</f>
        <v>196571000</v>
      </c>
      <c r="E14" s="19">
        <f>E10-E11-E12-E13</f>
        <v>311346000</v>
      </c>
      <c r="F14" s="19">
        <f>F10-F11-F12-F13</f>
        <v>383230000</v>
      </c>
      <c r="G14" s="19">
        <f>G10-G11-G12-G13</f>
        <v>445612000</v>
      </c>
      <c r="I14" s="20"/>
      <c r="J14" s="21"/>
    </row>
    <row r="15" spans="3:14" ht="15" customHeight="1">
      <c r="C15" s="14" t="s">
        <v>11</v>
      </c>
      <c r="D15" s="18">
        <v>206223000</v>
      </c>
      <c r="E15" s="18">
        <v>268477000</v>
      </c>
      <c r="F15" s="18">
        <v>343479000</v>
      </c>
      <c r="G15" s="18">
        <v>414367000</v>
      </c>
      <c r="I15" s="20"/>
      <c r="J15" s="21"/>
    </row>
    <row r="16" spans="3:14" ht="15" customHeight="1">
      <c r="C16" s="14" t="s">
        <v>12</v>
      </c>
      <c r="D16" s="17">
        <v>7432000</v>
      </c>
      <c r="E16" s="17">
        <v>7434138.8600000003</v>
      </c>
      <c r="F16" s="17">
        <v>7434158.6600000001</v>
      </c>
      <c r="G16" s="17">
        <v>7434158.6600000001</v>
      </c>
      <c r="I16" s="20"/>
      <c r="J16" s="21"/>
    </row>
    <row r="17" spans="2:10" ht="15" customHeight="1">
      <c r="C17" s="14" t="s">
        <v>13</v>
      </c>
      <c r="D17" s="18">
        <v>376.04</v>
      </c>
      <c r="E17" s="16">
        <v>430.53</v>
      </c>
      <c r="F17" s="16">
        <v>487.71</v>
      </c>
      <c r="G17" s="18">
        <v>373.02</v>
      </c>
    </row>
    <row r="18" spans="2:10" ht="15" customHeight="1">
      <c r="C18" s="14" t="s">
        <v>14</v>
      </c>
      <c r="D18" s="22">
        <f>D17*D16</f>
        <v>2794729280</v>
      </c>
      <c r="E18" s="22">
        <f>E17*E16</f>
        <v>3200619803.3958001</v>
      </c>
      <c r="F18" s="22">
        <f>F17*F16</f>
        <v>3625713520.0685997</v>
      </c>
      <c r="G18" s="22">
        <f>G17*G16</f>
        <v>2773089863.3532</v>
      </c>
    </row>
    <row r="19" spans="2:10" ht="15" customHeight="1">
      <c r="C19" s="14" t="s">
        <v>15</v>
      </c>
      <c r="D19" s="18">
        <v>205753000</v>
      </c>
      <c r="E19" s="18">
        <v>243686000</v>
      </c>
      <c r="F19" s="18">
        <v>275524000</v>
      </c>
      <c r="G19" s="18">
        <v>279861000</v>
      </c>
    </row>
    <row r="20" spans="2:10" ht="15" customHeight="1">
      <c r="C20" s="14" t="s">
        <v>16</v>
      </c>
      <c r="D20" s="18">
        <v>28107000</v>
      </c>
      <c r="E20" s="18">
        <v>44477000</v>
      </c>
      <c r="F20" s="18">
        <v>64551000</v>
      </c>
      <c r="G20" s="18">
        <f>12/9*84669000</f>
        <v>112892000</v>
      </c>
      <c r="H20" s="14" t="s">
        <v>1</v>
      </c>
    </row>
    <row r="21" spans="2:10" ht="15" customHeight="1">
      <c r="C21" s="14" t="s">
        <v>17</v>
      </c>
      <c r="D21" s="18">
        <v>59475000</v>
      </c>
      <c r="E21" s="18">
        <v>74071000</v>
      </c>
      <c r="F21" s="18">
        <v>71611000</v>
      </c>
      <c r="G21" s="18">
        <f>12/9*(127494000-84669000)</f>
        <v>57100000</v>
      </c>
      <c r="H21" s="14" t="s">
        <v>1</v>
      </c>
    </row>
    <row r="22" spans="2:10" ht="15" customHeight="1">
      <c r="C22" s="14" t="s">
        <v>18</v>
      </c>
      <c r="D22" s="18"/>
      <c r="E22" s="18"/>
      <c r="F22" s="18"/>
      <c r="G22" s="18">
        <f>12/9*127494000</f>
        <v>169992000</v>
      </c>
      <c r="H22" s="23"/>
    </row>
    <row r="23" spans="2:10" ht="15" customHeight="1">
      <c r="D23" s="18"/>
      <c r="E23" s="18"/>
      <c r="F23" s="18"/>
      <c r="G23" s="18"/>
    </row>
    <row r="24" spans="2:10" ht="15" customHeight="1">
      <c r="D24" s="14">
        <v>2023</v>
      </c>
      <c r="E24" s="14">
        <v>2024</v>
      </c>
      <c r="F24" s="14">
        <v>2025</v>
      </c>
      <c r="G24" s="15">
        <v>46082</v>
      </c>
    </row>
    <row r="25" spans="2:10" ht="15" customHeight="1">
      <c r="B25" s="14">
        <v>1</v>
      </c>
      <c r="C25" s="14" t="s">
        <v>19</v>
      </c>
      <c r="D25" s="14" t="s">
        <v>20</v>
      </c>
      <c r="E25" s="24">
        <f>E5/D5-1</f>
        <v>0.1566996201307127</v>
      </c>
      <c r="F25" s="24">
        <f>F5/E5-1</f>
        <v>0.14932156232406713</v>
      </c>
      <c r="G25" s="24">
        <f>G5/F5-1</f>
        <v>0.14453389369264458</v>
      </c>
    </row>
    <row r="26" spans="2:10" ht="15" customHeight="1">
      <c r="B26" s="14">
        <v>2</v>
      </c>
      <c r="C26" s="14" t="s">
        <v>21</v>
      </c>
      <c r="D26" s="14" t="s">
        <v>20</v>
      </c>
      <c r="E26" s="24">
        <f>E8/D8-1</f>
        <v>0.21800417351888446</v>
      </c>
      <c r="F26" s="24">
        <f>F8/E8-1</f>
        <v>0.15539620586366532</v>
      </c>
      <c r="G26" s="24">
        <f>G8/F8-1</f>
        <v>0.28293660146123023</v>
      </c>
    </row>
    <row r="27" spans="2:10" ht="15" customHeight="1">
      <c r="B27" s="14">
        <v>3</v>
      </c>
      <c r="C27" s="14" t="s">
        <v>22</v>
      </c>
      <c r="D27" s="14" t="s">
        <v>20</v>
      </c>
      <c r="E27" s="25">
        <f>E18/(E8*(1+E26))</f>
        <v>29.814805134708593</v>
      </c>
      <c r="F27" s="25">
        <f>F18/(F8*(1+F26))</f>
        <v>30.816142626880527</v>
      </c>
      <c r="G27" s="25">
        <f>G18/(G8*(1+G26))</f>
        <v>16.545095522131415</v>
      </c>
    </row>
    <row r="28" spans="2:10" ht="15" customHeight="1">
      <c r="B28" s="14">
        <v>4</v>
      </c>
      <c r="C28" s="14" t="s">
        <v>23</v>
      </c>
      <c r="D28" s="26">
        <f>D7/D14</f>
        <v>0.46435639031189746</v>
      </c>
      <c r="E28" s="24">
        <f>E7/E14</f>
        <v>0.35562364700365512</v>
      </c>
      <c r="F28" s="24">
        <f>F7/F14</f>
        <v>0.32881559376875508</v>
      </c>
      <c r="G28" s="24">
        <f>G7/G14</f>
        <v>0.34300093653971014</v>
      </c>
    </row>
    <row r="29" spans="2:10" ht="15" customHeight="1">
      <c r="C29" s="14" t="s">
        <v>24</v>
      </c>
      <c r="D29" s="24">
        <f>D7/(D18-D15)</f>
        <v>3.5263194339246497E-2</v>
      </c>
      <c r="E29" s="24">
        <f>E7/(E18-E15)</f>
        <v>3.7761462324334825E-2</v>
      </c>
      <c r="F29" s="24">
        <f>F7/(F18-F15)</f>
        <v>3.8392137804146402E-2</v>
      </c>
      <c r="G29" s="24">
        <f>G7/(G18-G15)</f>
        <v>6.4800038914298655E-2</v>
      </c>
      <c r="I29" s="27"/>
      <c r="J29" s="27"/>
    </row>
    <row r="30" spans="2:10" ht="14.25" customHeight="1">
      <c r="B30" s="14">
        <v>5</v>
      </c>
      <c r="C30" s="14" t="s">
        <v>25</v>
      </c>
      <c r="D30" s="23">
        <f>(D18+D19-D11)/D7</f>
        <v>32.491353761544275</v>
      </c>
      <c r="E30" s="23">
        <f>(E18+E19-E11)/E6</f>
        <v>25.757586354275276</v>
      </c>
      <c r="F30" s="23">
        <f>(F18+F19-F11)/F6</f>
        <v>24.168797927565947</v>
      </c>
      <c r="G30" s="23">
        <f>(G18+G19-G11)/G6</f>
        <v>15.625737956150015</v>
      </c>
    </row>
    <row r="31" spans="2:10" ht="15" customHeight="1">
      <c r="B31" s="14">
        <v>6</v>
      </c>
      <c r="C31" s="14" t="s">
        <v>26</v>
      </c>
      <c r="D31" s="23">
        <f>D18/D15</f>
        <v>13.551976646639803</v>
      </c>
      <c r="E31" s="23">
        <f>E18/E15</f>
        <v>11.921392906639303</v>
      </c>
      <c r="F31" s="23">
        <f>F18/F15</f>
        <v>10.555852090138261</v>
      </c>
      <c r="G31" s="23">
        <f>G18/G15</f>
        <v>6.6923521017677565</v>
      </c>
    </row>
    <row r="32" spans="2:10" ht="15" customHeight="1">
      <c r="B32" s="14">
        <v>7</v>
      </c>
      <c r="C32" s="14" t="s">
        <v>27</v>
      </c>
      <c r="D32" s="23">
        <f>D18/D5</f>
        <v>13.187972913668217</v>
      </c>
      <c r="E32" s="23">
        <f>E18/E5</f>
        <v>13.057252320867976</v>
      </c>
      <c r="F32" s="23">
        <f>F18/F5</f>
        <v>12.869736053969842</v>
      </c>
      <c r="G32" s="23">
        <f>G18/G5</f>
        <v>8.6002571930716378</v>
      </c>
    </row>
    <row r="33" spans="2:10" ht="15" customHeight="1">
      <c r="B33" s="14">
        <v>8</v>
      </c>
      <c r="C33" s="14" t="s">
        <v>28</v>
      </c>
      <c r="D33" s="23">
        <f>(D18+D19-D11)/D21</f>
        <v>49.865965195460277</v>
      </c>
      <c r="E33" s="23">
        <f>(E18+E19-E11)/E21</f>
        <v>46.252795336849779</v>
      </c>
      <c r="F33" s="23">
        <f>(F18+F19-F11)/F21</f>
        <v>54.055878567100024</v>
      </c>
      <c r="G33" s="23">
        <f>(G18+G19-G11)/G21</f>
        <v>51.865409165555164</v>
      </c>
    </row>
    <row r="34" spans="2:10" ht="15" customHeight="1">
      <c r="B34" s="14">
        <v>9</v>
      </c>
      <c r="C34" s="14" t="s">
        <v>29</v>
      </c>
      <c r="D34" s="28">
        <v>1.66E-2</v>
      </c>
      <c r="E34" s="28">
        <v>1.17E-2</v>
      </c>
      <c r="F34" s="28">
        <v>1.15E-2</v>
      </c>
      <c r="G34" s="28"/>
    </row>
    <row r="35" spans="2:10" ht="15" customHeight="1">
      <c r="B35" s="14">
        <v>10</v>
      </c>
      <c r="C35" s="14" t="s">
        <v>30</v>
      </c>
      <c r="D35" s="26">
        <f>D20/D6</f>
        <v>0.26732927525204492</v>
      </c>
      <c r="E35" s="26">
        <f>E20/E6</f>
        <v>0.33439090587854958</v>
      </c>
      <c r="F35" s="26">
        <f>F20/F6</f>
        <v>0.40302812724377984</v>
      </c>
      <c r="G35" s="26">
        <f>G20/G6</f>
        <v>0.59564813642311432</v>
      </c>
    </row>
    <row r="36" spans="2:10" ht="15" customHeight="1">
      <c r="B36" s="14">
        <v>11</v>
      </c>
      <c r="C36" s="14" t="s">
        <v>31</v>
      </c>
      <c r="D36" s="23">
        <f>D20/D9</f>
        <v>2.0277757737536972</v>
      </c>
      <c r="E36" s="23">
        <f>E20/E9</f>
        <v>1.9956476869924171</v>
      </c>
      <c r="F36" s="23">
        <f>F20/F9</f>
        <v>1.8900535824085731</v>
      </c>
      <c r="G36" s="23">
        <f>G20/G9</f>
        <v>3.0775298051759234</v>
      </c>
    </row>
    <row r="38" spans="2:10" ht="15" customHeight="1">
      <c r="B38" s="27" t="s">
        <v>32</v>
      </c>
    </row>
    <row r="39" spans="2:10" ht="15" customHeight="1">
      <c r="C39" s="14" t="s">
        <v>33</v>
      </c>
    </row>
    <row r="40" spans="2:10" ht="15" customHeight="1">
      <c r="C40" s="14" t="s">
        <v>34</v>
      </c>
    </row>
    <row r="41" spans="2:10" ht="15" customHeight="1">
      <c r="C41" s="14" t="s">
        <v>35</v>
      </c>
    </row>
    <row r="42" spans="2:10" ht="15" customHeight="1">
      <c r="C42" s="29" t="s">
        <v>36</v>
      </c>
    </row>
    <row r="43" spans="2:10" ht="15" customHeight="1">
      <c r="C43" s="14" t="s">
        <v>37</v>
      </c>
    </row>
    <row r="44" spans="2:10" ht="15" customHeight="1">
      <c r="C44" s="14" t="s">
        <v>38</v>
      </c>
      <c r="J44" s="30" t="s">
        <v>39</v>
      </c>
    </row>
    <row r="45" spans="2:10" ht="15" customHeight="1">
      <c r="C45" s="14" t="s">
        <v>40</v>
      </c>
      <c r="J45" s="30" t="s">
        <v>41</v>
      </c>
    </row>
    <row r="46" spans="2:10" ht="15" customHeight="1">
      <c r="C46" s="14" t="s">
        <v>42</v>
      </c>
    </row>
    <row r="47" spans="2:10" ht="15" customHeight="1">
      <c r="C47" s="14" t="s">
        <v>43</v>
      </c>
    </row>
    <row r="48" spans="2:10" ht="15" customHeight="1">
      <c r="C48" s="14" t="s">
        <v>44</v>
      </c>
    </row>
  </sheetData>
  <hyperlinks>
    <hyperlink ref="J44" r:id="rId1" xr:uid="{00000000-0004-0000-0000-000000000000}"/>
    <hyperlink ref="J45"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6"/>
  <sheetViews>
    <sheetView topLeftCell="B4" zoomScaleNormal="100" workbookViewId="0">
      <selection activeCell="E26" sqref="E26:G26"/>
    </sheetView>
  </sheetViews>
  <sheetFormatPr defaultColWidth="8.5703125" defaultRowHeight="15"/>
  <cols>
    <col min="2" max="2" width="15" customWidth="1"/>
    <col min="3" max="3" width="28" customWidth="1"/>
    <col min="4" max="4" width="22" customWidth="1"/>
    <col min="5" max="6" width="20" customWidth="1"/>
    <col min="7" max="7" width="19" customWidth="1"/>
    <col min="8" max="8" width="13" customWidth="1"/>
  </cols>
  <sheetData>
    <row r="2" spans="3:8">
      <c r="D2" t="e" vm="2">
        <v>#VALUE!</v>
      </c>
    </row>
    <row r="4" spans="3:8" ht="15" customHeight="1">
      <c r="D4" s="3">
        <v>2023</v>
      </c>
      <c r="E4" s="3">
        <v>2024</v>
      </c>
      <c r="F4" s="3">
        <v>2025</v>
      </c>
      <c r="G4" s="4">
        <v>46082</v>
      </c>
    </row>
    <row r="5" spans="3:8" ht="15" customHeight="1">
      <c r="C5" s="3" t="s">
        <v>0</v>
      </c>
      <c r="D5" s="1">
        <v>91471</v>
      </c>
      <c r="E5" s="1">
        <v>91854</v>
      </c>
      <c r="F5" s="1">
        <v>93925</v>
      </c>
      <c r="G5" s="1">
        <v>95449</v>
      </c>
      <c r="H5" s="3" t="s">
        <v>1</v>
      </c>
    </row>
    <row r="6" spans="3:8" ht="15" customHeight="1">
      <c r="C6" s="3" t="s">
        <v>2</v>
      </c>
      <c r="D6" s="1">
        <v>15504</v>
      </c>
      <c r="E6" s="1">
        <v>16702</v>
      </c>
      <c r="F6" s="1">
        <v>15676</v>
      </c>
      <c r="G6" s="1">
        <v>16381</v>
      </c>
    </row>
    <row r="7" spans="3:8" ht="15" customHeight="1">
      <c r="C7" s="3" t="s">
        <v>3</v>
      </c>
      <c r="D7" s="1">
        <v>11986</v>
      </c>
      <c r="E7" s="1">
        <v>12887</v>
      </c>
      <c r="F7" s="1">
        <v>11498</v>
      </c>
      <c r="G7" s="1">
        <v>12128</v>
      </c>
    </row>
    <row r="8" spans="3:8" ht="15" customHeight="1">
      <c r="C8" s="3" t="s">
        <v>4</v>
      </c>
      <c r="D8" s="1">
        <v>9074</v>
      </c>
      <c r="E8" s="1">
        <v>9578</v>
      </c>
      <c r="F8" s="1">
        <v>8240</v>
      </c>
      <c r="G8" s="1">
        <v>8733</v>
      </c>
    </row>
    <row r="9" spans="3:8" ht="15" customHeight="1">
      <c r="C9" s="3" t="s">
        <v>5</v>
      </c>
      <c r="D9" s="1">
        <v>3518</v>
      </c>
      <c r="E9" s="1">
        <v>3815</v>
      </c>
      <c r="F9" s="1">
        <v>4178</v>
      </c>
      <c r="G9" s="1">
        <v>4253</v>
      </c>
    </row>
    <row r="10" spans="3:8" ht="15" customHeight="1">
      <c r="C10" s="3" t="s">
        <v>6</v>
      </c>
      <c r="D10" s="1">
        <v>100495</v>
      </c>
      <c r="E10" s="1">
        <v>99467</v>
      </c>
      <c r="F10" s="1">
        <v>107399</v>
      </c>
      <c r="G10" s="1">
        <v>110646</v>
      </c>
    </row>
    <row r="11" spans="3:8" ht="15" customHeight="1">
      <c r="C11" s="3" t="s">
        <v>7</v>
      </c>
      <c r="D11" s="1">
        <v>10003</v>
      </c>
      <c r="E11" s="1">
        <v>9266</v>
      </c>
      <c r="F11" s="1">
        <v>9530</v>
      </c>
      <c r="G11" s="1">
        <v>10828</v>
      </c>
    </row>
    <row r="12" spans="3:8" ht="15" customHeight="1">
      <c r="C12" s="3" t="s">
        <v>8</v>
      </c>
      <c r="D12" s="1">
        <v>2714</v>
      </c>
      <c r="E12" s="1">
        <v>1985</v>
      </c>
      <c r="F12" s="1">
        <v>2038</v>
      </c>
      <c r="G12" s="1">
        <v>2135</v>
      </c>
    </row>
    <row r="13" spans="3:8" ht="15" customHeight="1">
      <c r="C13" s="3" t="s">
        <v>9</v>
      </c>
      <c r="D13" s="1">
        <v>31647</v>
      </c>
      <c r="E13" s="1">
        <v>31536</v>
      </c>
      <c r="F13" s="1">
        <v>32764</v>
      </c>
      <c r="G13" s="1">
        <v>34477</v>
      </c>
    </row>
    <row r="14" spans="3:8" ht="15" customHeight="1">
      <c r="C14" s="3" t="s">
        <v>10</v>
      </c>
      <c r="D14" s="5">
        <f>D10-D11-D12-D13</f>
        <v>56131</v>
      </c>
      <c r="E14" s="5">
        <f>E10-E11-E12-E13</f>
        <v>56680</v>
      </c>
      <c r="F14" s="5">
        <f>F10-F11-F12-F13</f>
        <v>63067</v>
      </c>
      <c r="G14" s="5">
        <f>G10-G11-G12-G13</f>
        <v>63206</v>
      </c>
    </row>
    <row r="15" spans="3:8" ht="15" customHeight="1">
      <c r="C15" s="3" t="s">
        <v>11</v>
      </c>
      <c r="D15" s="1">
        <v>18503</v>
      </c>
      <c r="E15" s="1">
        <v>18041</v>
      </c>
      <c r="F15" s="1">
        <v>20406</v>
      </c>
      <c r="G15" s="1">
        <v>21383</v>
      </c>
    </row>
    <row r="16" spans="3:8" ht="15" customHeight="1">
      <c r="C16" s="3" t="s">
        <v>12</v>
      </c>
      <c r="D16" s="6">
        <v>1376</v>
      </c>
      <c r="E16" s="6">
        <v>1373</v>
      </c>
      <c r="F16" s="6">
        <v>1369</v>
      </c>
      <c r="G16" s="6">
        <v>1370</v>
      </c>
    </row>
    <row r="17" spans="2:8" ht="15" customHeight="1">
      <c r="C17" s="3" t="s">
        <v>13</v>
      </c>
      <c r="D17" s="1">
        <v>169.84</v>
      </c>
      <c r="E17" s="1">
        <v>152.03</v>
      </c>
      <c r="F17" s="1">
        <v>143.6</v>
      </c>
      <c r="G17" s="1">
        <v>135.4</v>
      </c>
    </row>
    <row r="18" spans="2:8" ht="15" customHeight="1">
      <c r="C18" s="3" t="s">
        <v>14</v>
      </c>
      <c r="D18" s="7">
        <f>D17*D16</f>
        <v>233699.84</v>
      </c>
      <c r="E18" s="7">
        <f>E17*E16</f>
        <v>208737.19</v>
      </c>
      <c r="F18" s="7">
        <f>F17*F16</f>
        <v>196588.4</v>
      </c>
      <c r="G18" s="7">
        <f>G17*G16</f>
        <v>185498</v>
      </c>
    </row>
    <row r="19" spans="2:8" ht="15" customHeight="1">
      <c r="C19" s="3" t="s">
        <v>15</v>
      </c>
      <c r="D19" s="1">
        <v>81858</v>
      </c>
      <c r="E19" s="1">
        <v>81296</v>
      </c>
      <c r="F19" s="1">
        <v>86852</v>
      </c>
      <c r="G19" s="1">
        <v>89110</v>
      </c>
    </row>
    <row r="20" spans="2:8" ht="15" customHeight="1">
      <c r="C20" s="3" t="s">
        <v>16</v>
      </c>
      <c r="D20" s="1">
        <v>5518</v>
      </c>
      <c r="E20" s="1">
        <v>5318</v>
      </c>
      <c r="F20" s="1">
        <v>4415</v>
      </c>
      <c r="G20" s="1">
        <v>4259</v>
      </c>
      <c r="H20" s="3" t="s">
        <v>1</v>
      </c>
    </row>
    <row r="21" spans="2:8" ht="15" customHeight="1">
      <c r="C21" s="3" t="s">
        <v>17</v>
      </c>
      <c r="D21" s="1">
        <v>7924</v>
      </c>
      <c r="E21" s="1">
        <v>7189</v>
      </c>
      <c r="F21" s="1">
        <v>7672</v>
      </c>
      <c r="G21" s="1">
        <v>8842</v>
      </c>
      <c r="H21" s="3" t="s">
        <v>1</v>
      </c>
    </row>
    <row r="22" spans="2:8" ht="15" customHeight="1">
      <c r="C22" s="3" t="s">
        <v>18</v>
      </c>
      <c r="D22" s="1"/>
      <c r="E22" s="1"/>
      <c r="F22" s="1"/>
      <c r="G22" s="1">
        <v>13101</v>
      </c>
    </row>
    <row r="24" spans="2:8" ht="15" customHeight="1">
      <c r="D24" s="3">
        <v>2023</v>
      </c>
      <c r="E24" s="3">
        <v>2024</v>
      </c>
      <c r="F24" s="3">
        <v>2025</v>
      </c>
      <c r="G24" s="4">
        <v>46082</v>
      </c>
    </row>
    <row r="25" spans="2:8" ht="15" customHeight="1">
      <c r="B25" s="3">
        <v>1</v>
      </c>
      <c r="C25" s="3" t="s">
        <v>19</v>
      </c>
      <c r="D25" s="3" t="s">
        <v>20</v>
      </c>
      <c r="E25" s="8">
        <f>E5/D5-1</f>
        <v>4.1871194148965785E-3</v>
      </c>
      <c r="F25" s="8">
        <f>F5/E5-1</f>
        <v>2.2546650118666633E-2</v>
      </c>
      <c r="G25" s="8">
        <f>G5/F5-1</f>
        <v>1.6225712004258819E-2</v>
      </c>
    </row>
    <row r="26" spans="2:8" ht="15" customHeight="1">
      <c r="B26" s="3">
        <v>2</v>
      </c>
      <c r="C26" s="3" t="s">
        <v>21</v>
      </c>
      <c r="D26" s="3" t="s">
        <v>20</v>
      </c>
      <c r="E26" s="8">
        <f>E8/D8-1</f>
        <v>5.5543310557637282E-2</v>
      </c>
      <c r="F26" s="8">
        <f>F8/E8-1</f>
        <v>-0.13969513468365002</v>
      </c>
      <c r="G26" s="8">
        <f>G8/F8-1</f>
        <v>5.9830097087378631E-2</v>
      </c>
    </row>
    <row r="27" spans="2:8" ht="15" customHeight="1">
      <c r="B27" s="3">
        <v>3</v>
      </c>
      <c r="C27" s="3" t="s">
        <v>22</v>
      </c>
      <c r="D27" s="3" t="s">
        <v>20</v>
      </c>
      <c r="E27" s="9">
        <f>E18/(E8*(1+E26))</f>
        <v>20.646618933746204</v>
      </c>
      <c r="F27" s="9">
        <f>F18/(F8*(1+F26))</f>
        <v>27.731815192289567</v>
      </c>
      <c r="G27" s="9">
        <f>G18/(G8*(1+G26))</f>
        <v>20.041929166491457</v>
      </c>
    </row>
    <row r="28" spans="2:8" ht="15" customHeight="1">
      <c r="B28" s="3">
        <v>4</v>
      </c>
      <c r="C28" s="3" t="s">
        <v>23</v>
      </c>
      <c r="D28" s="10">
        <f>D7/D14</f>
        <v>0.21353619212200031</v>
      </c>
      <c r="E28" s="8">
        <f>E7/E14</f>
        <v>0.22736414961185603</v>
      </c>
      <c r="F28" s="8">
        <f>F7/F14</f>
        <v>0.18231404696592513</v>
      </c>
      <c r="G28" s="8">
        <f>G7/G14</f>
        <v>0.19188051767237288</v>
      </c>
    </row>
    <row r="29" spans="2:8" ht="15" customHeight="1">
      <c r="C29" s="3" t="s">
        <v>24</v>
      </c>
      <c r="D29" s="8">
        <f>D7/(D18-D15)</f>
        <v>5.5697843890272741E-2</v>
      </c>
      <c r="E29" s="8">
        <f>E7/(E18-E15)</f>
        <v>6.7578696774172567E-2</v>
      </c>
      <c r="F29" s="8">
        <f>F7/(F18-F15)</f>
        <v>6.526191038378408E-2</v>
      </c>
      <c r="G29" s="8">
        <f>G7/(G18-G15)</f>
        <v>7.389939981110806E-2</v>
      </c>
    </row>
    <row r="30" spans="2:8" ht="15" customHeight="1">
      <c r="B30" s="3">
        <v>5</v>
      </c>
      <c r="C30" s="3" t="s">
        <v>25</v>
      </c>
      <c r="D30" s="11">
        <f>(D18+D19-D11)/D7</f>
        <v>25.492644752210911</v>
      </c>
      <c r="E30" s="11">
        <f>(E18+E19-E11)/E6</f>
        <v>16.810393366063945</v>
      </c>
      <c r="F30" s="11">
        <f>(F18+F19-F11)/F6</f>
        <v>17.473232967593777</v>
      </c>
      <c r="G30" s="11">
        <f>(G18+G19-G11)/G6</f>
        <v>16.102802026738296</v>
      </c>
    </row>
    <row r="31" spans="2:8" ht="15" customHeight="1">
      <c r="B31" s="3">
        <v>6</v>
      </c>
      <c r="C31" s="3" t="s">
        <v>26</v>
      </c>
      <c r="D31" s="11">
        <f>D18/D15</f>
        <v>12.630375614765173</v>
      </c>
      <c r="E31" s="11">
        <f>E18/E15</f>
        <v>11.570156310625796</v>
      </c>
      <c r="F31" s="11">
        <f>F18/F15</f>
        <v>9.6338527883955702</v>
      </c>
      <c r="G31" s="11">
        <f>G18/G15</f>
        <v>8.6750222139082442</v>
      </c>
    </row>
    <row r="32" spans="2:8" ht="15" customHeight="1">
      <c r="B32" s="3">
        <v>7</v>
      </c>
      <c r="C32" s="3" t="s">
        <v>27</v>
      </c>
      <c r="D32" s="11">
        <f>D18/D5</f>
        <v>2.5549063637655651</v>
      </c>
      <c r="E32" s="11">
        <f>E18/E5</f>
        <v>2.2724888409867834</v>
      </c>
      <c r="F32" s="11">
        <f>F18/F5</f>
        <v>2.0930359329252064</v>
      </c>
      <c r="G32" s="11">
        <f>G18/G5</f>
        <v>1.9434252847070164</v>
      </c>
    </row>
    <row r="33" spans="2:7" ht="15" customHeight="1">
      <c r="B33" s="3">
        <v>8</v>
      </c>
      <c r="C33" s="3" t="s">
        <v>28</v>
      </c>
      <c r="D33" s="11">
        <f>(D18+D19-D11)/D21</f>
        <v>38.560681474003026</v>
      </c>
      <c r="E33" s="11">
        <f>(E18+E19-E11)/E21</f>
        <v>39.055110585616916</v>
      </c>
      <c r="F33" s="11">
        <f>(F18+F19-F11)/F21</f>
        <v>35.702606882168929</v>
      </c>
      <c r="G33" s="11">
        <f>(G18+G19-G11)/G21</f>
        <v>29.832617054964938</v>
      </c>
    </row>
    <row r="34" spans="2:7" ht="15" customHeight="1">
      <c r="B34" s="3">
        <v>9</v>
      </c>
      <c r="C34" s="3" t="s">
        <v>29</v>
      </c>
      <c r="D34" s="12">
        <v>2.9115638247762601E-2</v>
      </c>
      <c r="E34" s="12">
        <v>3.5058869959876303E-2</v>
      </c>
      <c r="F34" s="12">
        <v>3.9150417827298098E-2</v>
      </c>
      <c r="G34" s="12"/>
    </row>
    <row r="35" spans="2:7" ht="15" customHeight="1">
      <c r="B35" s="3">
        <v>10</v>
      </c>
      <c r="C35" s="3" t="s">
        <v>30</v>
      </c>
      <c r="D35" s="10">
        <f>D20/D6</f>
        <v>0.3559081527347781</v>
      </c>
      <c r="E35" s="10">
        <f>E20/E6</f>
        <v>0.31840498143934859</v>
      </c>
      <c r="F35" s="10">
        <f>F20/F6</f>
        <v>0.28164072467466189</v>
      </c>
      <c r="G35" s="10">
        <f>G20/G6</f>
        <v>0.25999633721994997</v>
      </c>
    </row>
    <row r="36" spans="2:7" ht="15" customHeight="1">
      <c r="B36" s="3">
        <v>11</v>
      </c>
      <c r="C36" s="3" t="s">
        <v>31</v>
      </c>
      <c r="D36" s="11">
        <f>D20/D9</f>
        <v>1.5685048322910744</v>
      </c>
      <c r="E36" s="11">
        <f>E20/E9</f>
        <v>1.3939711664482306</v>
      </c>
      <c r="F36" s="11">
        <f>F20/F9</f>
        <v>1.0567257060794639</v>
      </c>
      <c r="G36" s="11">
        <f>G20/G9</f>
        <v>1.0014107688690337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44"/>
  <sheetViews>
    <sheetView tabSelected="1" topLeftCell="A7" zoomScaleNormal="100" workbookViewId="0">
      <selection activeCell="D13" sqref="D13:F13"/>
    </sheetView>
  </sheetViews>
  <sheetFormatPr defaultColWidth="11.42578125" defaultRowHeight="14.25"/>
  <cols>
    <col min="2" max="2" width="15" customWidth="1"/>
    <col min="3" max="3" width="28" customWidth="1"/>
    <col min="4" max="4" width="22" customWidth="1"/>
    <col min="5" max="6" width="20" customWidth="1"/>
    <col min="7" max="7" width="19" customWidth="1"/>
    <col min="8" max="8" width="13" customWidth="1"/>
  </cols>
  <sheetData>
    <row r="2" spans="3:8">
      <c r="D2" t="e" vm="3">
        <v>#VALUE!</v>
      </c>
    </row>
    <row r="4" spans="3:8" ht="14.25" customHeight="1">
      <c r="D4" s="3">
        <v>2023</v>
      </c>
      <c r="E4" s="3">
        <v>2024</v>
      </c>
      <c r="F4" s="3">
        <v>2025</v>
      </c>
      <c r="G4" s="4">
        <v>46082</v>
      </c>
    </row>
    <row r="5" spans="3:8" ht="14.25" customHeight="1">
      <c r="C5" s="3" t="s">
        <v>0</v>
      </c>
      <c r="D5" s="1">
        <v>307394</v>
      </c>
      <c r="E5" s="1">
        <v>350018</v>
      </c>
      <c r="F5" s="1">
        <v>402836</v>
      </c>
      <c r="G5" s="1">
        <v>422499</v>
      </c>
      <c r="H5" s="3" t="s">
        <v>1</v>
      </c>
    </row>
    <row r="6" spans="3:8" ht="14.25" customHeight="1">
      <c r="C6" s="3" t="s">
        <v>2</v>
      </c>
      <c r="D6" s="1">
        <v>97971</v>
      </c>
      <c r="E6" s="1">
        <v>135394</v>
      </c>
      <c r="F6" s="1">
        <v>180698</v>
      </c>
      <c r="G6" s="1">
        <v>217580</v>
      </c>
    </row>
    <row r="7" spans="3:8" ht="14.25" customHeight="1">
      <c r="C7" s="3" t="s">
        <v>3</v>
      </c>
      <c r="D7" s="1">
        <v>85717</v>
      </c>
      <c r="E7" s="1">
        <v>120083</v>
      </c>
      <c r="F7" s="1">
        <v>159562</v>
      </c>
      <c r="G7" s="1">
        <v>194449</v>
      </c>
    </row>
    <row r="8" spans="3:8" ht="14.25" customHeight="1">
      <c r="C8" s="3" t="s">
        <v>4</v>
      </c>
      <c r="D8" s="1">
        <v>73795</v>
      </c>
      <c r="E8" s="1">
        <v>100118</v>
      </c>
      <c r="F8" s="1">
        <v>132170</v>
      </c>
      <c r="G8" s="1">
        <v>160208</v>
      </c>
    </row>
    <row r="9" spans="3:8" ht="14.25" customHeight="1">
      <c r="C9" s="3" t="s">
        <v>5</v>
      </c>
      <c r="D9" s="1">
        <v>12254</v>
      </c>
      <c r="E9" s="1">
        <v>15311</v>
      </c>
      <c r="F9" s="1">
        <v>21136</v>
      </c>
      <c r="G9" s="1">
        <v>23131</v>
      </c>
    </row>
    <row r="10" spans="3:8" ht="14.25" customHeight="1">
      <c r="C10" s="3" t="s">
        <v>6</v>
      </c>
      <c r="D10" s="1">
        <v>402392</v>
      </c>
      <c r="E10" s="1">
        <v>450256</v>
      </c>
      <c r="F10" s="1">
        <v>595281</v>
      </c>
      <c r="G10" s="1">
        <v>703919</v>
      </c>
    </row>
    <row r="11" spans="3:8" ht="14.25" customHeight="1">
      <c r="C11" s="3" t="s">
        <v>7</v>
      </c>
      <c r="D11" s="1">
        <v>110916</v>
      </c>
      <c r="E11" s="1">
        <v>95657</v>
      </c>
      <c r="F11" s="1">
        <v>126843</v>
      </c>
      <c r="G11" s="1">
        <v>126840</v>
      </c>
    </row>
    <row r="12" spans="3:8" ht="14.25" customHeight="1">
      <c r="C12" s="3" t="s">
        <v>8</v>
      </c>
      <c r="D12" s="1">
        <v>31008</v>
      </c>
      <c r="E12" s="1">
        <v>37982</v>
      </c>
      <c r="F12" s="1">
        <v>68687</v>
      </c>
      <c r="G12" s="1">
        <v>106946</v>
      </c>
    </row>
    <row r="13" spans="3:8" ht="14.25" customHeight="1">
      <c r="C13" s="3" t="s">
        <v>9</v>
      </c>
      <c r="D13" s="1">
        <v>81814</v>
      </c>
      <c r="E13" s="1">
        <v>89122</v>
      </c>
      <c r="F13" s="1">
        <v>102750</v>
      </c>
      <c r="G13" s="1">
        <v>111188</v>
      </c>
    </row>
    <row r="14" spans="3:8" ht="14.25" customHeight="1">
      <c r="C14" s="3" t="s">
        <v>10</v>
      </c>
      <c r="D14" s="5">
        <f>D10-D11-D12-D13</f>
        <v>178654</v>
      </c>
      <c r="E14" s="5">
        <f>E10-E11-E12-E13</f>
        <v>227495</v>
      </c>
      <c r="F14" s="5">
        <f>F10-F11-F12-F13</f>
        <v>297001</v>
      </c>
      <c r="G14" s="5">
        <f>G10-G11-G12-G13</f>
        <v>358945</v>
      </c>
    </row>
    <row r="15" spans="3:8" ht="14.25" customHeight="1">
      <c r="C15" s="3" t="s">
        <v>11</v>
      </c>
      <c r="D15" s="1">
        <v>283379</v>
      </c>
      <c r="E15" s="1">
        <v>325084</v>
      </c>
      <c r="F15" s="1">
        <v>415265</v>
      </c>
      <c r="G15" s="1">
        <v>478746</v>
      </c>
    </row>
    <row r="16" spans="3:8" ht="14.25" customHeight="1">
      <c r="C16" s="3" t="s">
        <v>12</v>
      </c>
      <c r="D16" s="6">
        <v>12630</v>
      </c>
      <c r="E16" s="6">
        <v>12319</v>
      </c>
      <c r="F16" s="6">
        <v>12116</v>
      </c>
      <c r="G16" s="6">
        <v>12095</v>
      </c>
    </row>
    <row r="17" spans="2:8" ht="14.25" customHeight="1">
      <c r="C17" s="3" t="s">
        <v>13</v>
      </c>
      <c r="D17" s="1">
        <v>139.69</v>
      </c>
      <c r="E17" s="1">
        <v>189.3</v>
      </c>
      <c r="F17" s="1">
        <v>313</v>
      </c>
      <c r="G17" s="1">
        <v>357.37</v>
      </c>
    </row>
    <row r="18" spans="2:8" ht="14.25" customHeight="1">
      <c r="C18" s="3" t="s">
        <v>14</v>
      </c>
      <c r="D18" s="7">
        <f>D17*D16</f>
        <v>1764284.7</v>
      </c>
      <c r="E18" s="7">
        <f>E17*E16</f>
        <v>2331986.7000000002</v>
      </c>
      <c r="F18" s="7">
        <f>F17*F16</f>
        <v>3792308</v>
      </c>
      <c r="G18" s="7">
        <f>G17*G16</f>
        <v>4322390.1500000004</v>
      </c>
    </row>
    <row r="19" spans="2:8" ht="14.25" customHeight="1">
      <c r="C19" s="3" t="s">
        <v>15</v>
      </c>
      <c r="D19" s="1">
        <v>119013</v>
      </c>
      <c r="E19" s="1">
        <v>125172</v>
      </c>
      <c r="F19" s="1">
        <v>180020</v>
      </c>
      <c r="G19" s="1">
        <v>225173</v>
      </c>
    </row>
    <row r="20" spans="2:8" ht="14.25" customHeight="1">
      <c r="C20" s="3" t="s">
        <v>16</v>
      </c>
      <c r="D20" s="1">
        <v>32251</v>
      </c>
      <c r="E20" s="1">
        <v>52535</v>
      </c>
      <c r="F20" s="1">
        <v>91447</v>
      </c>
      <c r="G20" s="1">
        <v>109924</v>
      </c>
      <c r="H20" s="3" t="s">
        <v>1</v>
      </c>
    </row>
    <row r="21" spans="2:8" ht="14.25" customHeight="1">
      <c r="C21" s="3" t="s">
        <v>17</v>
      </c>
      <c r="D21" s="1">
        <v>69495</v>
      </c>
      <c r="E21" s="1">
        <v>72764</v>
      </c>
      <c r="F21" s="1">
        <v>73266</v>
      </c>
      <c r="G21" s="1">
        <v>64429</v>
      </c>
      <c r="H21" s="3" t="s">
        <v>1</v>
      </c>
    </row>
    <row r="22" spans="2:8" ht="14.25" customHeight="1">
      <c r="C22" s="3" t="s">
        <v>18</v>
      </c>
      <c r="D22" s="1"/>
      <c r="E22" s="1"/>
      <c r="F22" s="1"/>
      <c r="G22" s="13">
        <v>174353</v>
      </c>
    </row>
    <row r="23" spans="2:8" ht="14.25" customHeight="1">
      <c r="D23" s="2"/>
      <c r="E23" s="2"/>
      <c r="F23" s="2"/>
    </row>
    <row r="24" spans="2:8" ht="14.25" customHeight="1">
      <c r="D24" s="3">
        <v>2023</v>
      </c>
      <c r="E24" s="3">
        <v>2024</v>
      </c>
      <c r="F24" s="3">
        <v>2025</v>
      </c>
      <c r="G24" s="4">
        <v>46082</v>
      </c>
    </row>
    <row r="25" spans="2:8" ht="14.25" customHeight="1">
      <c r="B25" s="3">
        <v>1</v>
      </c>
      <c r="C25" s="3" t="s">
        <v>19</v>
      </c>
      <c r="D25" s="3" t="s">
        <v>20</v>
      </c>
      <c r="E25" s="8">
        <f>E5/D5-1</f>
        <v>0.13866243322901561</v>
      </c>
      <c r="F25" s="8">
        <f>F5/E5-1</f>
        <v>0.15090081081544371</v>
      </c>
      <c r="G25" s="8">
        <f>G5/F5-1</f>
        <v>4.8811426982692696E-2</v>
      </c>
    </row>
    <row r="26" spans="2:8" ht="14.25" customHeight="1">
      <c r="B26" s="3">
        <v>2</v>
      </c>
      <c r="C26" s="3" t="s">
        <v>21</v>
      </c>
      <c r="D26" s="3" t="s">
        <v>20</v>
      </c>
      <c r="E26" s="8">
        <f>E8/D8-1</f>
        <v>0.35670438376583768</v>
      </c>
      <c r="F26" s="8">
        <f>F8/E8-1</f>
        <v>0.32014223216604409</v>
      </c>
      <c r="G26" s="8">
        <f>G8/F8-1</f>
        <v>0.21213588560187646</v>
      </c>
    </row>
    <row r="27" spans="2:8" ht="14.25" customHeight="1">
      <c r="B27" s="3">
        <v>3</v>
      </c>
      <c r="C27" s="3" t="s">
        <v>22</v>
      </c>
      <c r="D27" s="3" t="s">
        <v>20</v>
      </c>
      <c r="E27" s="9">
        <f>E18/(E8*(1+E26))</f>
        <v>17.168354630505021</v>
      </c>
      <c r="F27" s="9">
        <f>F18/(F8*(1+F26))</f>
        <v>21.734516707222621</v>
      </c>
      <c r="G27" s="9">
        <f>G18/(G8*(1+G26))</f>
        <v>22.258118857776257</v>
      </c>
    </row>
    <row r="28" spans="2:8" ht="14.25" customHeight="1">
      <c r="B28" s="3">
        <v>4</v>
      </c>
      <c r="C28" s="3" t="s">
        <v>23</v>
      </c>
      <c r="D28" s="10">
        <f>D7/D14</f>
        <v>0.47979334355793879</v>
      </c>
      <c r="E28" s="8">
        <f>E7/E14</f>
        <v>0.52784896371348822</v>
      </c>
      <c r="F28" s="8">
        <f>F7/F14</f>
        <v>0.5372439823434938</v>
      </c>
      <c r="G28" s="8">
        <f>G7/G14</f>
        <v>0.54172366239953196</v>
      </c>
    </row>
    <row r="29" spans="2:8" ht="14.25" customHeight="1">
      <c r="C29" s="3" t="s">
        <v>24</v>
      </c>
      <c r="D29" s="8">
        <f>D7/(D18-D15)</f>
        <v>5.7881470778321675E-2</v>
      </c>
      <c r="E29" s="8">
        <f>E7/(E18-E15)</f>
        <v>5.9834988512397727E-2</v>
      </c>
      <c r="F29" s="8">
        <f>F7/(F18-F15)</f>
        <v>4.7249028217881739E-2</v>
      </c>
      <c r="G29" s="8">
        <f>G7/(G18-G15)</f>
        <v>5.0589750874830593E-2</v>
      </c>
    </row>
    <row r="30" spans="2:8" ht="14.25" customHeight="1">
      <c r="B30" s="3">
        <v>5</v>
      </c>
      <c r="C30" s="3" t="s">
        <v>25</v>
      </c>
      <c r="D30" s="11">
        <f>(D18+D19-D11)/D7</f>
        <v>20.677131724162066</v>
      </c>
      <c r="E30" s="11">
        <f>(E18+E19-E11)/E6</f>
        <v>17.441701257071955</v>
      </c>
      <c r="F30" s="11">
        <f>(F18+F19-F11)/F6</f>
        <v>21.281281475168512</v>
      </c>
      <c r="G30" s="11">
        <f>(G18+G19-G11)/G6</f>
        <v>20.317690734442504</v>
      </c>
    </row>
    <row r="31" spans="2:8" ht="14.25" customHeight="1">
      <c r="B31" s="3">
        <v>6</v>
      </c>
      <c r="C31" s="3" t="s">
        <v>26</v>
      </c>
      <c r="D31" s="11">
        <f>D18/D15</f>
        <v>6.2258837105078353</v>
      </c>
      <c r="E31" s="11">
        <f>E18/E15</f>
        <v>7.173489621144074</v>
      </c>
      <c r="F31" s="11">
        <f>F18/F15</f>
        <v>9.1322601230539533</v>
      </c>
      <c r="G31" s="11">
        <f>G18/G15</f>
        <v>9.0285666094338133</v>
      </c>
    </row>
    <row r="32" spans="2:8" ht="14.25" customHeight="1">
      <c r="B32" s="3">
        <v>7</v>
      </c>
      <c r="C32" s="3" t="s">
        <v>27</v>
      </c>
      <c r="D32" s="11">
        <f>D18/D5</f>
        <v>5.7394897102741105</v>
      </c>
      <c r="E32" s="11">
        <f>E18/E5</f>
        <v>6.6624765012085101</v>
      </c>
      <c r="F32" s="11">
        <f>F18/F5</f>
        <v>9.414024565828278</v>
      </c>
      <c r="G32" s="11">
        <f>G18/G5</f>
        <v>10.230533445049575</v>
      </c>
    </row>
    <row r="33" spans="2:7" ht="14.25" customHeight="1">
      <c r="B33" s="3">
        <v>8</v>
      </c>
      <c r="C33" s="3" t="s">
        <v>28</v>
      </c>
      <c r="D33" s="11">
        <f>(D18+D19-D11)/D21</f>
        <v>25.503729764731276</v>
      </c>
      <c r="E33" s="11">
        <f>(E18+E19-E11)/E21</f>
        <v>32.454258974218021</v>
      </c>
      <c r="F33" s="11">
        <f>(F18+F19-F11)/F21</f>
        <v>52.48662408211176</v>
      </c>
      <c r="G33" s="11">
        <f>(G18+G19-G11)/G21</f>
        <v>68.613871858945515</v>
      </c>
    </row>
    <row r="34" spans="2:7" ht="14.25" customHeight="1">
      <c r="B34" s="3">
        <v>9</v>
      </c>
      <c r="C34" s="3" t="s">
        <v>29</v>
      </c>
      <c r="D34" s="12"/>
      <c r="E34" s="12">
        <v>3.1695721077654501E-3</v>
      </c>
      <c r="F34" s="12">
        <v>2.6517571884983999E-3</v>
      </c>
      <c r="G34" s="12"/>
    </row>
    <row r="35" spans="2:7" ht="14.25" customHeight="1">
      <c r="B35" s="3">
        <v>10</v>
      </c>
      <c r="C35" s="3" t="s">
        <v>30</v>
      </c>
      <c r="D35" s="10">
        <f>D20/D6</f>
        <v>0.32918924988006654</v>
      </c>
      <c r="E35" s="10">
        <f>E20/E6</f>
        <v>0.3880157170923379</v>
      </c>
      <c r="F35" s="10">
        <f>F20/F6</f>
        <v>0.50607643692791282</v>
      </c>
      <c r="G35" s="10">
        <f>G20/G6</f>
        <v>0.50521187609155249</v>
      </c>
    </row>
    <row r="36" spans="2:7" ht="14.25" customHeight="1">
      <c r="B36" s="3">
        <v>11</v>
      </c>
      <c r="C36" s="3" t="s">
        <v>31</v>
      </c>
      <c r="D36" s="11">
        <f>D20/D9</f>
        <v>2.6318753060225233</v>
      </c>
      <c r="E36" s="11">
        <f>E20/E9</f>
        <v>3.4311932597478938</v>
      </c>
      <c r="F36" s="11">
        <f>F20/F9</f>
        <v>4.3265991672975019</v>
      </c>
      <c r="G36" s="11">
        <f>G20/G9</f>
        <v>4.7522372573602523</v>
      </c>
    </row>
    <row r="38" spans="2:7" ht="15"/>
    <row r="39" spans="2:7" ht="15"/>
    <row r="40" spans="2:7" ht="15"/>
    <row r="41" spans="2:7" ht="15"/>
    <row r="42" spans="2:7" ht="15"/>
    <row r="43" spans="2:7" ht="15"/>
    <row r="44" spans="2:7" ht="1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Martín Maffi</dc:creator>
  <cp:keywords/>
  <dc:description/>
  <cp:lastModifiedBy>Juan Martín Maffi</cp:lastModifiedBy>
  <cp:revision>0</cp:revision>
  <dcterms:created xsi:type="dcterms:W3CDTF">2026-04-27T16:28:26Z</dcterms:created>
  <dcterms:modified xsi:type="dcterms:W3CDTF">2026-07-01T18:55:59Z</dcterms:modified>
  <cp:category/>
  <cp:contentStatus/>
</cp:coreProperties>
</file>