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FT" sheetId="1" state="visible" r:id="rId1"/>
    <sheet xmlns:r="http://schemas.openxmlformats.org/officeDocument/2006/relationships" name="PEP" sheetId="2" state="visible" r:id="rId2"/>
    <sheet xmlns:r="http://schemas.openxmlformats.org/officeDocument/2006/relationships" name="GOOG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  <font>
      <color rgb="00000000"/>
    </font>
    <font>
      <i val="1"/>
      <color rgb="00404040"/>
    </font>
    <font>
      <b val="1"/>
    </font>
    <font>
      <b val="1"/>
      <i val="1"/>
      <color rgb="00808080"/>
      <sz val="9"/>
    </font>
    <font>
      <i val="1"/>
      <color rgb="00C00000"/>
      <sz val="9"/>
    </font>
    <font>
      <i val="1"/>
      <color rgb="00A0A0A0"/>
      <sz val="8"/>
    </font>
    <font>
      <b val="1"/>
      <color rgb="001F3864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5" fillId="0" borderId="1" pivotButton="0" quotePrefix="0" xfId="0"/>
    <xf numFmtId="10" fontId="0" fillId="0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8" customWidth="1" min="8" max="8"/>
    <col width="44" customWidth="1" min="9" max="9"/>
  </cols>
  <sheetData>
    <row r="1">
      <c r="B1" s="1" t="inlineStr">
        <is>
          <t>MSFT  —  Fundamental Analysis</t>
        </is>
      </c>
    </row>
    <row r="2">
      <c r="B2" s="2" t="inlineStr">
        <is>
          <t>Units: US$ millions (except per-share &amp; ratios)</t>
        </is>
      </c>
    </row>
    <row r="4">
      <c r="B4" t="inlineStr"/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2026-03 (run-rate)</t>
        </is>
      </c>
      <c r="G4" s="4" t="inlineStr">
        <is>
          <t>Peer median</t>
        </is>
      </c>
      <c r="H4" s="4" t="inlineStr">
        <is>
          <t>Rec.</t>
        </is>
      </c>
      <c r="I4" s="5" t="inlineStr">
        <is>
          <t>Definition / source</t>
        </is>
      </c>
    </row>
    <row r="5">
      <c r="B5" s="6" t="inlineStr">
        <is>
          <t>INCOME STATEMENT</t>
        </is>
      </c>
      <c r="C5" s="7" t="n"/>
      <c r="D5" s="7" t="n"/>
      <c r="E5" s="7" t="n"/>
      <c r="F5" s="7" t="n"/>
    </row>
    <row r="6">
      <c r="B6" s="8" t="inlineStr">
        <is>
          <t>Revenue</t>
        </is>
      </c>
      <c r="C6" s="9" t="n">
        <v>211915</v>
      </c>
      <c r="D6" s="9" t="n">
        <v>245122</v>
      </c>
      <c r="E6" s="9" t="n">
        <v>281724</v>
      </c>
      <c r="F6" s="9" t="n">
        <v>322442.6666666666</v>
      </c>
    </row>
    <row r="7">
      <c r="B7" s="8" t="inlineStr">
        <is>
          <t>EBITDA</t>
        </is>
      </c>
      <c r="C7" s="9" t="n">
        <v>105140</v>
      </c>
      <c r="D7" s="9" t="n">
        <v>133009</v>
      </c>
      <c r="E7" s="9" t="n">
        <v>160165</v>
      </c>
      <c r="F7" s="9" t="n">
        <v>189528</v>
      </c>
    </row>
    <row r="8">
      <c r="B8" s="8" t="inlineStr">
        <is>
          <t>EBIT (operating income)</t>
        </is>
      </c>
      <c r="C8" s="9" t="n">
        <v>91279</v>
      </c>
      <c r="D8" s="9" t="n">
        <v>110722</v>
      </c>
      <c r="E8" s="9" t="n">
        <v>126012</v>
      </c>
      <c r="F8" s="9" t="n">
        <v>152845.3333333333</v>
      </c>
    </row>
    <row r="9">
      <c r="B9" s="8" t="inlineStr">
        <is>
          <t>Net income</t>
        </is>
      </c>
      <c r="C9" s="9" t="n">
        <v>72361</v>
      </c>
      <c r="D9" s="9" t="n">
        <v>88136</v>
      </c>
      <c r="E9" s="9" t="n">
        <v>101832</v>
      </c>
      <c r="F9" s="9" t="n">
        <v>130644</v>
      </c>
    </row>
    <row r="10">
      <c r="B10" s="8" t="inlineStr">
        <is>
          <t>D&amp;A</t>
        </is>
      </c>
      <c r="C10" s="9" t="n">
        <v>13861</v>
      </c>
      <c r="D10" s="9" t="n">
        <v>22287</v>
      </c>
      <c r="E10" s="9" t="n">
        <v>34153</v>
      </c>
      <c r="F10" s="9" t="n">
        <v>36682.66666666666</v>
      </c>
    </row>
    <row r="11">
      <c r="B11" s="6" t="inlineStr">
        <is>
          <t>BALANCE SHEET</t>
        </is>
      </c>
      <c r="C11" s="7" t="n"/>
      <c r="D11" s="7" t="n"/>
      <c r="E11" s="7" t="n"/>
      <c r="F11" s="7" t="n"/>
    </row>
    <row r="12">
      <c r="B12" s="8" t="inlineStr">
        <is>
          <t>Total assets</t>
        </is>
      </c>
      <c r="C12" s="9" t="n">
        <v>411976</v>
      </c>
      <c r="D12" s="9" t="n">
        <v>512163</v>
      </c>
      <c r="E12" s="9" t="n">
        <v>619003</v>
      </c>
      <c r="F12" s="9" t="n">
        <v>694228</v>
      </c>
    </row>
    <row r="13">
      <c r="B13" s="8" t="inlineStr">
        <is>
          <t>Cash &amp; marketable securities</t>
        </is>
      </c>
      <c r="C13" s="9" t="n">
        <v>34704</v>
      </c>
      <c r="D13" s="9" t="n">
        <v>18315</v>
      </c>
      <c r="E13" s="9" t="n">
        <v>30242</v>
      </c>
      <c r="F13" s="9" t="n">
        <v>91436</v>
      </c>
    </row>
    <row r="14">
      <c r="B14" s="8" t="inlineStr">
        <is>
          <t>Non-marketable securities</t>
        </is>
      </c>
      <c r="C14" s="9" t="n">
        <v>76552</v>
      </c>
      <c r="D14" s="9" t="n">
        <v>57216</v>
      </c>
      <c r="E14" s="9" t="n">
        <v>64313</v>
      </c>
      <c r="F14" s="9" t="n">
        <v>20519</v>
      </c>
    </row>
    <row r="15">
      <c r="B15" s="8" t="inlineStr">
        <is>
          <t>Current liabilities</t>
        </is>
      </c>
      <c r="C15" s="9" t="n">
        <v>104149</v>
      </c>
      <c r="D15" s="9" t="n">
        <v>125286</v>
      </c>
      <c r="E15" s="9" t="n">
        <v>141218</v>
      </c>
      <c r="F15" s="9" t="n">
        <v>136661</v>
      </c>
    </row>
    <row r="16">
      <c r="B16" s="8" t="inlineStr">
        <is>
          <t>Capital employed</t>
        </is>
      </c>
      <c r="C16" s="9">
        <f>C12-C13-C14-C15</f>
        <v/>
      </c>
      <c r="D16" s="9">
        <f>D12-D13-D14-D15</f>
        <v/>
      </c>
      <c r="E16" s="9">
        <f>E12-E13-E14-E15</f>
        <v/>
      </c>
      <c r="F16" s="9">
        <f>F12-F13-F14-F15</f>
        <v/>
      </c>
      <c r="I16" s="2" t="inlineStr">
        <is>
          <t>Total assets - cash - non-mktb sec. - current liabilities</t>
        </is>
      </c>
    </row>
    <row r="17">
      <c r="B17" s="8" t="inlineStr">
        <is>
          <t>Stockholders' equity</t>
        </is>
      </c>
      <c r="C17" s="9" t="n">
        <v>206223</v>
      </c>
      <c r="D17" s="9" t="n">
        <v>268477</v>
      </c>
      <c r="E17" s="9" t="n">
        <v>343479</v>
      </c>
      <c r="F17" s="9" t="n">
        <v>414367</v>
      </c>
    </row>
    <row r="18">
      <c r="B18" s="8" t="inlineStr">
        <is>
          <t>Total liabilities</t>
        </is>
      </c>
      <c r="C18" s="9" t="n">
        <v>205753</v>
      </c>
      <c r="D18" s="9" t="n">
        <v>243686</v>
      </c>
      <c r="E18" s="9" t="n">
        <v>275524</v>
      </c>
      <c r="F18" s="9" t="n">
        <v>279861</v>
      </c>
    </row>
    <row r="19">
      <c r="B19" s="8" t="inlineStr">
        <is>
          <t>Total debt</t>
        </is>
      </c>
      <c r="C19" s="9" t="n">
        <v>59965</v>
      </c>
      <c r="D19" s="9" t="n">
        <v>67127</v>
      </c>
      <c r="E19" s="9" t="n">
        <v>60588</v>
      </c>
      <c r="F19" s="9" t="n">
        <v>56965</v>
      </c>
      <c r="I19" s="2" t="inlineStr">
        <is>
          <t>Short-term + long-term interest-bearing debt</t>
        </is>
      </c>
    </row>
    <row r="20">
      <c r="B20" s="8" t="inlineStr">
        <is>
          <t>Net debt</t>
        </is>
      </c>
      <c r="C20" s="9" t="n">
        <v>12533</v>
      </c>
      <c r="D20" s="9" t="n">
        <v>33315</v>
      </c>
      <c r="E20" s="9" t="n">
        <v>12909</v>
      </c>
      <c r="F20" s="9" t="n">
        <v>8157</v>
      </c>
      <c r="I20" s="2" t="inlineStr">
        <is>
          <t>Total debt - cash &amp; equivalents</t>
        </is>
      </c>
    </row>
    <row r="21">
      <c r="B21" s="8" t="inlineStr">
        <is>
          <t>Goodwill &amp; intangibles</t>
        </is>
      </c>
      <c r="C21" s="9" t="n">
        <v>77252</v>
      </c>
      <c r="D21" s="9" t="n">
        <v>146817</v>
      </c>
      <c r="E21" s="9" t="n">
        <v>142113</v>
      </c>
      <c r="F21" s="9" t="n">
        <v>138986</v>
      </c>
      <c r="I21" s="2" t="inlineStr">
        <is>
          <t>For tangible book value (P/TBV)</t>
        </is>
      </c>
    </row>
    <row r="22">
      <c r="B22" s="6" t="inlineStr">
        <is>
          <t>CASH FLOW</t>
        </is>
      </c>
      <c r="C22" s="7" t="n"/>
      <c r="D22" s="7" t="n"/>
      <c r="E22" s="7" t="n"/>
      <c r="F22" s="7" t="n"/>
    </row>
    <row r="23">
      <c r="B23" s="8" t="inlineStr">
        <is>
          <t>Operating cash flow</t>
        </is>
      </c>
      <c r="C23" s="9" t="n"/>
      <c r="D23" s="9" t="n"/>
      <c r="E23" s="9" t="n"/>
      <c r="F23" s="9" t="n">
        <v>169992</v>
      </c>
    </row>
    <row r="24">
      <c r="B24" s="8" t="inlineStr">
        <is>
          <t>Cash dividend paid</t>
        </is>
      </c>
      <c r="C24" s="9" t="n">
        <v>19800</v>
      </c>
      <c r="D24" s="9" t="n">
        <v>21771</v>
      </c>
      <c r="E24" s="9" t="n">
        <v>24082</v>
      </c>
      <c r="F24" s="9" t="n">
        <v>26249.33333333333</v>
      </c>
      <c r="I24" s="2" t="inlineStr">
        <is>
          <t>Common dividends paid (outflow, shown positive)</t>
        </is>
      </c>
    </row>
    <row r="25">
      <c r="B25" s="8" t="inlineStr">
        <is>
          <t>Repurchase of capital stock</t>
        </is>
      </c>
      <c r="C25" s="9" t="n">
        <v>22245</v>
      </c>
      <c r="D25" s="9" t="n">
        <v>17254</v>
      </c>
      <c r="E25" s="9" t="n">
        <v>18420</v>
      </c>
      <c r="F25" s="9" t="n">
        <v>23589.33333333333</v>
      </c>
      <c r="I25" s="2" t="inlineStr">
        <is>
          <t>Buybacks (outflow, shown positive)</t>
        </is>
      </c>
    </row>
    <row r="26">
      <c r="B26" s="8" t="inlineStr">
        <is>
          <t>CapEx</t>
        </is>
      </c>
      <c r="C26" s="9" t="n">
        <v>28107</v>
      </c>
      <c r="D26" s="9" t="n">
        <v>44477</v>
      </c>
      <c r="E26" s="9" t="n">
        <v>64551</v>
      </c>
      <c r="F26" s="9" t="n">
        <v>112892</v>
      </c>
    </row>
    <row r="27">
      <c r="B27" s="8" t="inlineStr">
        <is>
          <t>Free cash flow</t>
        </is>
      </c>
      <c r="C27" s="9" t="n">
        <v>59475</v>
      </c>
      <c r="D27" s="9" t="n">
        <v>74071</v>
      </c>
      <c r="E27" s="9" t="n">
        <v>71611</v>
      </c>
      <c r="F27" s="9" t="n">
        <v>57100</v>
      </c>
    </row>
    <row r="28">
      <c r="B28" s="6" t="inlineStr">
        <is>
          <t>MARKET DATA</t>
        </is>
      </c>
      <c r="C28" s="7" t="n"/>
      <c r="D28" s="7" t="n"/>
      <c r="E28" s="7" t="n"/>
      <c r="F28" s="7" t="n"/>
    </row>
    <row r="29">
      <c r="B29" s="8" t="inlineStr">
        <is>
          <t>Total shares (diluted)</t>
        </is>
      </c>
      <c r="C29" s="9" t="n">
        <v>7432</v>
      </c>
      <c r="D29" s="9" t="n">
        <v>7434.13886</v>
      </c>
      <c r="E29" s="9" t="n">
        <v>7434.15866</v>
      </c>
      <c r="F29" s="9" t="n">
        <v>7434.15866</v>
      </c>
    </row>
    <row r="30">
      <c r="B30" s="8" t="inlineStr">
        <is>
          <t>Market price</t>
        </is>
      </c>
      <c r="C30" s="10" t="n">
        <v>376.04</v>
      </c>
      <c r="D30" s="10" t="n">
        <v>430.53</v>
      </c>
      <c r="E30" s="10" t="n">
        <v>487.71</v>
      </c>
      <c r="F30" s="10" t="n">
        <v>373.02</v>
      </c>
    </row>
    <row r="31">
      <c r="B31" s="8" t="inlineStr">
        <is>
          <t>Market cap.</t>
        </is>
      </c>
      <c r="C31" s="9">
        <f>C30*C29</f>
        <v/>
      </c>
      <c r="D31" s="9">
        <f>D30*D29</f>
        <v/>
      </c>
      <c r="E31" s="9">
        <f>E30*E29</f>
        <v/>
      </c>
      <c r="F31" s="9">
        <f>F30*F29</f>
        <v/>
      </c>
    </row>
    <row r="32">
      <c r="B32" s="6" t="inlineStr">
        <is>
          <t>VALUATION &amp; QUALITY RATIOS</t>
        </is>
      </c>
      <c r="C32" s="7" t="n"/>
      <c r="D32" s="7" t="n"/>
      <c r="E32" s="7" t="n"/>
      <c r="F32" s="7" t="n"/>
    </row>
    <row r="33">
      <c r="B33" s="8" t="inlineStr">
        <is>
          <t>1. Δ Revenue (YoY)</t>
        </is>
      </c>
      <c r="C33" s="11" t="n"/>
      <c r="D33" s="11">
        <f>D6/C6-1</f>
        <v/>
      </c>
      <c r="E33" s="11">
        <f>E6/D6-1</f>
        <v/>
      </c>
      <c r="F33" s="11">
        <f>F6/E6-1</f>
        <v/>
      </c>
      <c r="H33" s="12">
        <f>IF(NOT(ISNUMBER(F33)),"",IF(F33&gt;=0.1,"BUY",IF(F33&lt;0,"SELL","HOLD")))</f>
        <v/>
      </c>
      <c r="I33" s="2" t="inlineStr">
        <is>
          <t>YoY revenue growth</t>
        </is>
      </c>
    </row>
    <row r="34">
      <c r="B34" s="8" t="inlineStr">
        <is>
          <t>2. Δ Net income (YoY)</t>
        </is>
      </c>
      <c r="C34" s="11" t="n"/>
      <c r="D34" s="11">
        <f>IF(C9&lt;=0,1,D9/C9-1)</f>
        <v/>
      </c>
      <c r="E34" s="11">
        <f>IF(D9&lt;=0,1,E9/D9-1)</f>
        <v/>
      </c>
      <c r="F34" s="11">
        <f>IF(E9&lt;=0,1,F9/E9-1)</f>
        <v/>
      </c>
      <c r="H34" s="12">
        <f>IF(NOT(ISNUMBER(F34)),"",IF(F34&gt;=0.1,"BUY",IF(F34&lt;0,"SELL","HOLD")))</f>
        <v/>
      </c>
      <c r="I34" s="2" t="inlineStr">
        <is>
          <t>YoY earnings growth (capped at +100% when prior year &lt;= 0)</t>
        </is>
      </c>
    </row>
    <row r="35">
      <c r="B35" s="8" t="inlineStr">
        <is>
          <t>3. P/E (trailing)</t>
        </is>
      </c>
      <c r="C35" s="13">
        <f>C31/C9</f>
        <v/>
      </c>
      <c r="D35" s="13">
        <f>D31/D9</f>
        <v/>
      </c>
      <c r="E35" s="13">
        <f>E31/E9</f>
        <v/>
      </c>
      <c r="F35" s="13">
        <f>F31/F9</f>
        <v/>
      </c>
      <c r="G35" s="13" t="n"/>
      <c r="H35" s="12">
        <f>IF(OR(G35="",NOT(ISNUMBER(F35)),F35&lt;=0),"",IF(F35&lt;G35*0.9,"BUY",IF(F35&gt;G35*1.1,"SELL","HOLD")))</f>
        <v/>
      </c>
      <c r="I35" s="2" t="inlineStr">
        <is>
          <t>Market cap / net income; vs peer median</t>
        </is>
      </c>
    </row>
    <row r="36">
      <c r="B36" s="14" t="inlineStr">
        <is>
          <t xml:space="preserve">   Forward P/E</t>
        </is>
      </c>
      <c r="C36" s="13" t="n"/>
      <c r="D36" s="13">
        <f>IF(ISNUMBER(D34),D31/(D9*(1+D34)),D31/D9)</f>
        <v/>
      </c>
      <c r="E36" s="13">
        <f>IF(ISNUMBER(E34),E31/(E9*(1+E34)),E31/E9)</f>
        <v/>
      </c>
      <c r="F36" s="13">
        <f>IF(ISNUMBER(F34),F31/(F9*(1+F34)),F31/F9)</f>
        <v/>
      </c>
      <c r="G36" s="13" t="n"/>
      <c r="H36" s="12">
        <f>IF(OR(G36="",NOT(ISNUMBER(F36)),F36&lt;=0),"",IF(F36&lt;G36*0.9,"BUY",IF(F36&gt;G36*1.1,"SELL","HOLD")))</f>
        <v/>
      </c>
      <c r="I36" s="2" t="inlineStr">
        <is>
          <t>Market cap / (net income * (1 + earnings growth)); vs peer median</t>
        </is>
      </c>
    </row>
    <row r="37">
      <c r="B37" s="8" t="inlineStr">
        <is>
          <t>4. ROCE</t>
        </is>
      </c>
      <c r="C37" s="11">
        <f>C8/C16</f>
        <v/>
      </c>
      <c r="D37" s="11">
        <f>D8/D16</f>
        <v/>
      </c>
      <c r="E37" s="11">
        <f>E8/E16</f>
        <v/>
      </c>
      <c r="F37" s="11">
        <f>F8/F16</f>
        <v/>
      </c>
      <c r="G37" s="11" t="n"/>
      <c r="H37" s="12">
        <f>IF(NOT(ISNUMBER(F37)),"",IF(F37&gt;=0.15,"BUY",IF(F37&lt;0.08,"SELL","HOLD")))</f>
        <v/>
      </c>
      <c r="I37" s="2" t="inlineStr">
        <is>
          <t>EBIT / capital employed (&gt;=15% BUY, &lt;8% SELL)</t>
        </is>
      </c>
    </row>
    <row r="38">
      <c r="B38" s="14" t="inlineStr">
        <is>
          <t xml:space="preserve">   ROE</t>
        </is>
      </c>
      <c r="C38" s="11">
        <f>C9/C17</f>
        <v/>
      </c>
      <c r="D38" s="11">
        <f>D9/D17</f>
        <v/>
      </c>
      <c r="E38" s="11">
        <f>E9/E17</f>
        <v/>
      </c>
      <c r="F38" s="11">
        <f>F9/F17</f>
        <v/>
      </c>
      <c r="G38" s="11" t="n"/>
      <c r="H38" s="12">
        <f>IF(NOT(ISNUMBER(F38)),"",IF(F38&gt;=0.15,"BUY",IF(F38&lt;0.08,"SELL","HOLD")))</f>
        <v/>
      </c>
      <c r="I38" s="2" t="inlineStr">
        <is>
          <t>Net income / equity — works for banks (&gt;=15% BUY, &lt;8% SELL)</t>
        </is>
      </c>
    </row>
    <row r="39">
      <c r="B39" s="14" t="inlineStr">
        <is>
          <t xml:space="preserve">   Acid ROCE</t>
        </is>
      </c>
      <c r="C39" s="11">
        <f>C8/(C31-C17)</f>
        <v/>
      </c>
      <c r="D39" s="11">
        <f>D8/(D31-D17)</f>
        <v/>
      </c>
      <c r="E39" s="11">
        <f>E8/(E31-E17)</f>
        <v/>
      </c>
      <c r="F39" s="11">
        <f>F8/(F31-F17)</f>
        <v/>
      </c>
      <c r="G39" s="11" t="n"/>
      <c r="H39" s="12">
        <f>IF(NOT(ISNUMBER(F39)),"",IF(F39&gt;=0.05,"BUY",IF(F39&lt;0.04,"SELL","HOLD")))</f>
        <v/>
      </c>
      <c r="I39" s="2" t="inlineStr">
        <is>
          <t>EBIT / (market cap - equity) (&gt;=5% BUY, 4-5% HOLD, &lt;4% SELL)</t>
        </is>
      </c>
    </row>
    <row r="40">
      <c r="B40" s="8" t="inlineStr">
        <is>
          <t>5. EV / EBITDA</t>
        </is>
      </c>
      <c r="C40" s="13">
        <f>(C31+C18-C13)/C7</f>
        <v/>
      </c>
      <c r="D40" s="13">
        <f>(D31+D18-D13)/D7</f>
        <v/>
      </c>
      <c r="E40" s="13">
        <f>(E31+E18-E13)/E7</f>
        <v/>
      </c>
      <c r="F40" s="13">
        <f>(F31+F18-F13)/F7</f>
        <v/>
      </c>
      <c r="G40" s="13" t="n"/>
      <c r="H40" s="12">
        <f>IF(OR(G40="",NOT(ISNUMBER(F40)),F40&lt;=0),"",IF(F40&lt;G40*0.9,"BUY",IF(F40&gt;G40*1.1,"SELL","HOLD")))</f>
        <v/>
      </c>
      <c r="I40" s="2" t="inlineStr">
        <is>
          <t>Enterprise value / EBITDA; vs peer median</t>
        </is>
      </c>
    </row>
    <row r="41">
      <c r="B41" s="8" t="inlineStr">
        <is>
          <t>6. P / B</t>
        </is>
      </c>
      <c r="C41" s="13">
        <f>C31/C17</f>
        <v/>
      </c>
      <c r="D41" s="13">
        <f>D31/D17</f>
        <v/>
      </c>
      <c r="E41" s="13">
        <f>E31/E17</f>
        <v/>
      </c>
      <c r="F41" s="13">
        <f>F31/F17</f>
        <v/>
      </c>
      <c r="G41" s="13" t="n"/>
      <c r="H41" s="12">
        <f>IF(OR(G41="",NOT(ISNUMBER(F41)),F41&lt;=0),"",IF(F41&lt;G41*0.9,"BUY",IF(F41&gt;G41*1.1,"SELL","HOLD")))</f>
        <v/>
      </c>
      <c r="I41" s="2" t="inlineStr">
        <is>
          <t>vs peer median</t>
        </is>
      </c>
    </row>
    <row r="42">
      <c r="B42" s="14" t="inlineStr">
        <is>
          <t xml:space="preserve">   P / TBV</t>
        </is>
      </c>
      <c r="C42" s="13">
        <f>C31/(C17-C21)</f>
        <v/>
      </c>
      <c r="D42" s="13">
        <f>D31/(D17-D21)</f>
        <v/>
      </c>
      <c r="E42" s="13">
        <f>E31/(E17-E21)</f>
        <v/>
      </c>
      <c r="F42" s="13">
        <f>F31/(F17-F21)</f>
        <v/>
      </c>
      <c r="G42" s="13" t="n"/>
      <c r="H42" s="12">
        <f>IF(OR(G42="",NOT(ISNUMBER(F42)),F42&lt;=0),"",IF(F42&lt;G42*0.9,"BUY",IF(F42&gt;G42*1.1,"SELL","HOLD")))</f>
        <v/>
      </c>
      <c r="I42" s="2" t="inlineStr">
        <is>
          <t>Price / tangible book — key for banks; vs peer median</t>
        </is>
      </c>
    </row>
    <row r="43">
      <c r="B43" s="8" t="inlineStr">
        <is>
          <t>7. P / S</t>
        </is>
      </c>
      <c r="C43" s="13">
        <f>C31/C6</f>
        <v/>
      </c>
      <c r="D43" s="13">
        <f>D31/D6</f>
        <v/>
      </c>
      <c r="E43" s="13">
        <f>E31/E6</f>
        <v/>
      </c>
      <c r="F43" s="13">
        <f>F31/F6</f>
        <v/>
      </c>
      <c r="G43" s="13" t="n"/>
      <c r="H43" s="12">
        <f>IF(OR(G43="",NOT(ISNUMBER(F43)),F43&lt;=0),"",IF(F43&lt;G43*0.9,"BUY",IF(F43&gt;G43*1.1,"SELL","HOLD")))</f>
        <v/>
      </c>
      <c r="I43" s="2" t="inlineStr">
        <is>
          <t>vs peer median</t>
        </is>
      </c>
    </row>
    <row r="44">
      <c r="B44" s="8" t="inlineStr">
        <is>
          <t>8. EV / FCF</t>
        </is>
      </c>
      <c r="C44" s="13">
        <f>(C31+C18-C13)/C27</f>
        <v/>
      </c>
      <c r="D44" s="13">
        <f>(D31+D18-D13)/D27</f>
        <v/>
      </c>
      <c r="E44" s="13">
        <f>(E31+E18-E13)/E27</f>
        <v/>
      </c>
      <c r="F44" s="13">
        <f>(F31+F18-F13)/F27</f>
        <v/>
      </c>
      <c r="G44" s="13" t="n"/>
      <c r="H44" s="12">
        <f>IF(OR(G44="",NOT(ISNUMBER(F44)),F44&lt;=0),"",IF(F44&lt;G44*0.9,"BUY",IF(F44&gt;G44*1.1,"SELL","HOLD")))</f>
        <v/>
      </c>
      <c r="I44" s="2" t="inlineStr">
        <is>
          <t>vs peer median</t>
        </is>
      </c>
    </row>
    <row r="45">
      <c r="B45" s="8" t="inlineStr">
        <is>
          <t>9. Dividend yield</t>
        </is>
      </c>
      <c r="C45" s="15">
        <f>C24/C31</f>
        <v/>
      </c>
      <c r="D45" s="15">
        <f>D24/D31</f>
        <v/>
      </c>
      <c r="E45" s="15">
        <f>E24/E31</f>
        <v/>
      </c>
      <c r="F45" s="15">
        <f>F24/F31</f>
        <v/>
      </c>
      <c r="H45" s="12">
        <f>IF(NOT(ISNUMBER(F45)),"",IF(F45&gt;=0.03,"BUY",IF(F45&lt;0.01,"SELL","HOLD")))</f>
        <v/>
      </c>
      <c r="I45" s="2" t="inlineStr">
        <is>
          <t>Dividends paid / market cap (&gt;=3% BUY, &lt;1% SELL)</t>
        </is>
      </c>
    </row>
    <row r="46">
      <c r="B46" s="8" t="inlineStr">
        <is>
          <t>10. Total shareholder return</t>
        </is>
      </c>
      <c r="C46" s="11">
        <f>(C24+C25)/C31</f>
        <v/>
      </c>
      <c r="D46" s="11">
        <f>(D24+D25)/D31</f>
        <v/>
      </c>
      <c r="E46" s="11">
        <f>(E24+E25)/E31</f>
        <v/>
      </c>
      <c r="F46" s="11">
        <f>(F24+F25)/F31</f>
        <v/>
      </c>
      <c r="G46" s="11" t="n"/>
      <c r="H46" s="12">
        <f>IF(NOT(ISNUMBER(F46)),"",IF(F46&gt;=0.05,"BUY",IF(F46&lt;0.02,"SELL","HOLD")))</f>
        <v/>
      </c>
      <c r="I46" s="2" t="inlineStr">
        <is>
          <t>(dividends + buybacks) / market cap (&gt;=5% BUY, &lt;2% SELL)</t>
        </is>
      </c>
    </row>
    <row r="47">
      <c r="B47" s="8" t="inlineStr">
        <is>
          <t>11. CapEx / EBITDA</t>
        </is>
      </c>
      <c r="C47" s="11">
        <f>C26/C7</f>
        <v/>
      </c>
      <c r="D47" s="11">
        <f>D26/D7</f>
        <v/>
      </c>
      <c r="E47" s="11">
        <f>E26/E7</f>
        <v/>
      </c>
      <c r="F47" s="11">
        <f>F26/F7</f>
        <v/>
      </c>
      <c r="G47" s="11" t="n"/>
      <c r="I47" s="2" t="inlineStr">
        <is>
          <t>informational; vs peer median</t>
        </is>
      </c>
    </row>
    <row r="48">
      <c r="B48" s="8" t="inlineStr">
        <is>
          <t>12. CapEx / D&amp;A</t>
        </is>
      </c>
      <c r="C48" s="13">
        <f>C26/C10</f>
        <v/>
      </c>
      <c r="D48" s="13">
        <f>D26/D10</f>
        <v/>
      </c>
      <c r="E48" s="13">
        <f>E26/E10</f>
        <v/>
      </c>
      <c r="F48" s="13">
        <f>F26/F10</f>
        <v/>
      </c>
      <c r="G48" s="13" t="n"/>
      <c r="I48" s="2" t="inlineStr">
        <is>
          <t>informational; vs peer median</t>
        </is>
      </c>
    </row>
    <row r="49">
      <c r="B49" s="8" t="inlineStr">
        <is>
          <t>13. Ratio de endeudamiento</t>
        </is>
      </c>
      <c r="C49" s="11">
        <f>C19/C12</f>
        <v/>
      </c>
      <c r="D49" s="11">
        <f>D19/D12</f>
        <v/>
      </c>
      <c r="E49" s="11">
        <f>E19/E12</f>
        <v/>
      </c>
      <c r="F49" s="11">
        <f>F19/F12</f>
        <v/>
      </c>
      <c r="G49" s="11" t="n"/>
      <c r="H49" s="12">
        <f>IF(NOT(ISNUMBER(F49)),"",IF(F49&lt;=0.3,"BUY",IF(F49&gt;0.6,"SELL","HOLD")))</f>
        <v/>
      </c>
      <c r="I49" s="2" t="inlineStr">
        <is>
          <t>Total debt / total assets (&lt;=30% BUY, &gt;60% SELL)</t>
        </is>
      </c>
    </row>
    <row r="50">
      <c r="B50" s="8" t="inlineStr">
        <is>
          <t>14. Deuda financiera neta / activos (libros)</t>
        </is>
      </c>
      <c r="C50" s="11">
        <f>C20/(C20+C12)</f>
        <v/>
      </c>
      <c r="D50" s="11">
        <f>D20/(D20+D12)</f>
        <v/>
      </c>
      <c r="E50" s="11">
        <f>E20/(E20+E12)</f>
        <v/>
      </c>
      <c r="F50" s="11">
        <f>F20/(F20+F12)</f>
        <v/>
      </c>
      <c r="G50" s="11" t="n"/>
      <c r="H50" s="12">
        <f>IF(NOT(ISNUMBER(F50)),"",IF(F50&lt;=0.2,"BUY",IF(F50&gt;0.4,"SELL","HOLD")))</f>
        <v/>
      </c>
      <c r="I50" s="2" t="inlineStr">
        <is>
          <t>Net debt / (net debt + total assets) (&lt;=20% BUY, &gt;40% SELL)</t>
        </is>
      </c>
    </row>
    <row r="51">
      <c r="B51" s="8" t="inlineStr">
        <is>
          <t>15. Deuda financiera neta / market cap</t>
        </is>
      </c>
      <c r="C51" s="11">
        <f>C20/C31</f>
        <v/>
      </c>
      <c r="D51" s="11">
        <f>D20/D31</f>
        <v/>
      </c>
      <c r="E51" s="11">
        <f>E20/E31</f>
        <v/>
      </c>
      <c r="F51" s="11">
        <f>F20/F31</f>
        <v/>
      </c>
      <c r="G51" s="11" t="n"/>
      <c r="H51" s="12">
        <f>IF(NOT(ISNUMBER(F51)),"",IF(F51&lt;=0.15,"BUY",IF(F51&gt;0.4,"SELL","HOLD")))</f>
        <v/>
      </c>
      <c r="I51" s="2" t="inlineStr">
        <is>
          <t>Net debt / market cap (&lt;=15% BUY, &gt;40% SELL)</t>
        </is>
      </c>
    </row>
    <row r="52">
      <c r="B52" s="8" t="inlineStr">
        <is>
          <t>16. Price estimate (Trefis)</t>
        </is>
      </c>
      <c r="C52" s="10" t="n"/>
      <c r="D52" s="10" t="n"/>
      <c r="E52" s="10" t="n"/>
      <c r="F52" s="10" t="n"/>
      <c r="H52" s="12">
        <f>IF(OR(F52="",F30=""),"",IF(F52&gt;F30*1.1,"BUY",IF(F52&lt;F30*0.9,"SELL","HOLD")))</f>
        <v/>
      </c>
      <c r="I52" s="2" t="inlineStr">
        <is>
          <t>External target vs price (&gt;+10% BUY, &lt;-10% SELL)</t>
        </is>
      </c>
    </row>
    <row r="54">
      <c r="B54" s="16" t="inlineStr">
        <is>
          <t>Run-rate: 2026-03 (run-rate) annualizes reported year-to-date flows; balance-sheet items are the latest reported quarter (point-in-time).</t>
        </is>
      </c>
    </row>
    <row r="55">
      <c r="B55" s="17" t="inlineStr">
        <is>
          <t>Reorganized from Analisis_MSFT_GOOGL_PEP.xlsx (MSFT converted from thousands to millions). Total debt / net debt / dividends / buybacks back-filled from Yahoo Finance.</t>
        </is>
      </c>
    </row>
    <row r="57">
      <c r="B57" s="18" t="inlineStr">
        <is>
          <t>Observaciones</t>
        </is>
      </c>
    </row>
    <row r="58">
      <c r="B58" s="19" t="inlineStr">
        <is>
          <t>• Gross y Operating Margins cayendo 1 a 2 pp, pero estables en el rango 67-69 y 47-49</t>
        </is>
      </c>
    </row>
    <row r="59">
      <c r="B59" s="19" t="inlineStr">
        <is>
          <t>• Guidance Q4 25: aumento sustancial del CapEx (&gt;$30 bn)</t>
        </is>
      </c>
    </row>
    <row r="60">
      <c r="B60" s="19" t="inlineStr">
        <is>
          <t>• Guidance Q1 26: CapEx a superar 2025 por fuerte demanda</t>
        </is>
      </c>
    </row>
    <row r="61">
      <c r="B61" s="19" t="inlineStr">
        <is>
          <t>• MSFT tiene un 27% de participación en OpenAI</t>
        </is>
      </c>
    </row>
    <row r="62">
      <c r="B62" s="19" t="inlineStr">
        <is>
          <t>• OpenAI hizo pedio a SEC para salir en bolsa de manera confidencial.</t>
        </is>
      </c>
    </row>
    <row r="63">
      <c r="B63" s="19" t="inlineStr">
        <is>
          <t>• Los balances filtrados parecen mostrar pérdidas por $24bn en 2025 (ingresos por 10 y gastos por 34)</t>
        </is>
      </c>
    </row>
    <row r="64">
      <c r="B64" s="19" t="inlineStr">
        <is>
          <t>• No le dan los ingresos para justificar la valuación a la que apunta: tendría que ganar todo el market-share de ads ($101 bn) para 2030</t>
        </is>
      </c>
    </row>
    <row r="65">
      <c r="B65" s="19" t="inlineStr">
        <is>
          <t>• Planea aumentar el revenue por ads desde $2bn hoy a $102 bn en 2030</t>
        </is>
      </c>
    </row>
    <row r="66">
      <c r="B66" s="19" t="inlineStr">
        <is>
          <t>• 72% del costo del revenue viene de MSFT: mercado lee conflicto de interés</t>
        </is>
      </c>
    </row>
    <row r="67">
      <c r="B67" s="19" t="inlineStr">
        <is>
          <t>• Market share de API volume cayó fuerte de 70-85% a 45-60%</t>
        </is>
      </c>
    </row>
  </sheetData>
  <conditionalFormatting sqref="H5:H53">
    <cfRule type="cellIs" priority="1" operator="equal" dxfId="0">
      <formula>"BUY"</formula>
    </cfRule>
    <cfRule type="cellIs" priority="2" operator="equal" dxfId="1">
      <formula>"HOLD"</formula>
    </cfRule>
    <cfRule type="cellIs" priority="3" operator="equal" dxfId="2">
      <formula>"SELL"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8" customWidth="1" min="8" max="8"/>
    <col width="44" customWidth="1" min="9" max="9"/>
  </cols>
  <sheetData>
    <row r="1">
      <c r="B1" s="1" t="inlineStr">
        <is>
          <t>PEP  —  Fundamental Analysis</t>
        </is>
      </c>
    </row>
    <row r="2">
      <c r="B2" s="2" t="inlineStr">
        <is>
          <t>Units: US$ millions (except per-share &amp; ratios)</t>
        </is>
      </c>
    </row>
    <row r="4">
      <c r="B4" t="inlineStr"/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2026-03 (run-rate)</t>
        </is>
      </c>
      <c r="G4" s="4" t="inlineStr">
        <is>
          <t>Peer median</t>
        </is>
      </c>
      <c r="H4" s="4" t="inlineStr">
        <is>
          <t>Rec.</t>
        </is>
      </c>
      <c r="I4" s="5" t="inlineStr">
        <is>
          <t>Definition / source</t>
        </is>
      </c>
    </row>
    <row r="5">
      <c r="B5" s="6" t="inlineStr">
        <is>
          <t>INCOME STATEMENT</t>
        </is>
      </c>
      <c r="C5" s="7" t="n"/>
      <c r="D5" s="7" t="n"/>
      <c r="E5" s="7" t="n"/>
      <c r="F5" s="7" t="n"/>
    </row>
    <row r="6">
      <c r="B6" s="8" t="inlineStr">
        <is>
          <t>Revenue</t>
        </is>
      </c>
      <c r="C6" s="9" t="n">
        <v>91471</v>
      </c>
      <c r="D6" s="9" t="n">
        <v>91854</v>
      </c>
      <c r="E6" s="9" t="n">
        <v>93925</v>
      </c>
      <c r="F6" s="9" t="n">
        <v>95449</v>
      </c>
    </row>
    <row r="7">
      <c r="B7" s="8" t="inlineStr">
        <is>
          <t>EBITDA</t>
        </is>
      </c>
      <c r="C7" s="9" t="n">
        <v>15504</v>
      </c>
      <c r="D7" s="9" t="n">
        <v>16702</v>
      </c>
      <c r="E7" s="9" t="n">
        <v>15676</v>
      </c>
      <c r="F7" s="9" t="n">
        <v>16381</v>
      </c>
    </row>
    <row r="8">
      <c r="B8" s="8" t="inlineStr">
        <is>
          <t>EBIT (operating income)</t>
        </is>
      </c>
      <c r="C8" s="9" t="n">
        <v>11986</v>
      </c>
      <c r="D8" s="9" t="n">
        <v>12887</v>
      </c>
      <c r="E8" s="9" t="n">
        <v>11498</v>
      </c>
      <c r="F8" s="9" t="n">
        <v>12128</v>
      </c>
    </row>
    <row r="9">
      <c r="B9" s="8" t="inlineStr">
        <is>
          <t>Net income</t>
        </is>
      </c>
      <c r="C9" s="9" t="n">
        <v>9074</v>
      </c>
      <c r="D9" s="9" t="n">
        <v>9578</v>
      </c>
      <c r="E9" s="9" t="n">
        <v>8240</v>
      </c>
      <c r="F9" s="9" t="n">
        <v>8733</v>
      </c>
    </row>
    <row r="10">
      <c r="B10" s="8" t="inlineStr">
        <is>
          <t>D&amp;A</t>
        </is>
      </c>
      <c r="C10" s="9" t="n">
        <v>3518</v>
      </c>
      <c r="D10" s="9" t="n">
        <v>3815</v>
      </c>
      <c r="E10" s="9" t="n">
        <v>4178</v>
      </c>
      <c r="F10" s="9" t="n">
        <v>4253</v>
      </c>
    </row>
    <row r="11">
      <c r="B11" s="6" t="inlineStr">
        <is>
          <t>BALANCE SHEET</t>
        </is>
      </c>
      <c r="C11" s="7" t="n"/>
      <c r="D11" s="7" t="n"/>
      <c r="E11" s="7" t="n"/>
      <c r="F11" s="7" t="n"/>
    </row>
    <row r="12">
      <c r="B12" s="8" t="inlineStr">
        <is>
          <t>Total assets</t>
        </is>
      </c>
      <c r="C12" s="9" t="n">
        <v>100495</v>
      </c>
      <c r="D12" s="9" t="n">
        <v>99467</v>
      </c>
      <c r="E12" s="9" t="n">
        <v>107399</v>
      </c>
      <c r="F12" s="9" t="n">
        <v>110646</v>
      </c>
    </row>
    <row r="13">
      <c r="B13" s="8" t="inlineStr">
        <is>
          <t>Cash &amp; marketable securities</t>
        </is>
      </c>
      <c r="C13" s="9" t="n">
        <v>10003</v>
      </c>
      <c r="D13" s="9" t="n">
        <v>9266</v>
      </c>
      <c r="E13" s="9" t="n">
        <v>9530</v>
      </c>
      <c r="F13" s="9" t="n">
        <v>10828</v>
      </c>
    </row>
    <row r="14">
      <c r="B14" s="8" t="inlineStr">
        <is>
          <t>Non-marketable securities</t>
        </is>
      </c>
      <c r="C14" s="9" t="n">
        <v>2714</v>
      </c>
      <c r="D14" s="9" t="n">
        <v>1985</v>
      </c>
      <c r="E14" s="9" t="n">
        <v>2038</v>
      </c>
      <c r="F14" s="9" t="n">
        <v>2135</v>
      </c>
    </row>
    <row r="15">
      <c r="B15" s="8" t="inlineStr">
        <is>
          <t>Current liabilities</t>
        </is>
      </c>
      <c r="C15" s="9" t="n">
        <v>31647</v>
      </c>
      <c r="D15" s="9" t="n">
        <v>31536</v>
      </c>
      <c r="E15" s="9" t="n">
        <v>32764</v>
      </c>
      <c r="F15" s="9" t="n">
        <v>34477</v>
      </c>
    </row>
    <row r="16">
      <c r="B16" s="8" t="inlineStr">
        <is>
          <t>Capital employed</t>
        </is>
      </c>
      <c r="C16" s="9">
        <f>C12-C13-C14-C15</f>
        <v/>
      </c>
      <c r="D16" s="9">
        <f>D12-D13-D14-D15</f>
        <v/>
      </c>
      <c r="E16" s="9">
        <f>E12-E13-E14-E15</f>
        <v/>
      </c>
      <c r="F16" s="9">
        <f>F12-F13-F14-F15</f>
        <v/>
      </c>
      <c r="I16" s="2" t="inlineStr">
        <is>
          <t>Total assets - cash - non-mktb sec. - current liabilities</t>
        </is>
      </c>
    </row>
    <row r="17">
      <c r="B17" s="8" t="inlineStr">
        <is>
          <t>Stockholders' equity</t>
        </is>
      </c>
      <c r="C17" s="9" t="n">
        <v>18503</v>
      </c>
      <c r="D17" s="9" t="n">
        <v>18041</v>
      </c>
      <c r="E17" s="9" t="n">
        <v>20406</v>
      </c>
      <c r="F17" s="9" t="n">
        <v>21383</v>
      </c>
    </row>
    <row r="18">
      <c r="B18" s="8" t="inlineStr">
        <is>
          <t>Total liabilities</t>
        </is>
      </c>
      <c r="C18" s="9" t="n">
        <v>81858</v>
      </c>
      <c r="D18" s="9" t="n">
        <v>81296</v>
      </c>
      <c r="E18" s="9" t="n">
        <v>86852</v>
      </c>
      <c r="F18" s="9" t="n">
        <v>89110</v>
      </c>
    </row>
    <row r="19">
      <c r="B19" s="8" t="inlineStr">
        <is>
          <t>Total debt</t>
        </is>
      </c>
      <c r="C19" s="9" t="n">
        <v>44661</v>
      </c>
      <c r="D19" s="9" t="n">
        <v>44948</v>
      </c>
      <c r="E19" s="9" t="n">
        <v>49901</v>
      </c>
      <c r="F19" s="9" t="n">
        <v>52728</v>
      </c>
      <c r="I19" s="2" t="inlineStr">
        <is>
          <t>Short-term + long-term interest-bearing debt</t>
        </is>
      </c>
    </row>
    <row r="20">
      <c r="B20" s="8" t="inlineStr">
        <is>
          <t>Net debt</t>
        </is>
      </c>
      <c r="C20" s="9" t="n">
        <v>34394</v>
      </c>
      <c r="D20" s="9" t="n">
        <v>35801</v>
      </c>
      <c r="E20" s="9" t="n">
        <v>40023</v>
      </c>
      <c r="F20" s="9" t="n">
        <v>42253</v>
      </c>
      <c r="I20" s="2" t="inlineStr">
        <is>
          <t>Total debt - cash &amp; equivalents</t>
        </is>
      </c>
    </row>
    <row r="21">
      <c r="B21" s="8" t="inlineStr">
        <is>
          <t>Goodwill &amp; intangibles</t>
        </is>
      </c>
      <c r="C21" s="9" t="n">
        <v>32657</v>
      </c>
      <c r="D21" s="9" t="n">
        <v>32335</v>
      </c>
      <c r="E21" s="9" t="n">
        <v>33982</v>
      </c>
      <c r="F21" s="9" t="n">
        <v>34164</v>
      </c>
      <c r="I21" s="2" t="inlineStr">
        <is>
          <t>For tangible book value (P/TBV)</t>
        </is>
      </c>
    </row>
    <row r="22">
      <c r="B22" s="6" t="inlineStr">
        <is>
          <t>CASH FLOW</t>
        </is>
      </c>
      <c r="C22" s="7" t="n"/>
      <c r="D22" s="7" t="n"/>
      <c r="E22" s="7" t="n"/>
      <c r="F22" s="7" t="n"/>
    </row>
    <row r="23">
      <c r="B23" s="8" t="inlineStr">
        <is>
          <t>Operating cash flow</t>
        </is>
      </c>
      <c r="C23" s="9" t="n"/>
      <c r="D23" s="9" t="n"/>
      <c r="E23" s="9" t="n"/>
      <c r="F23" s="9" t="n">
        <v>13101</v>
      </c>
    </row>
    <row r="24">
      <c r="B24" s="8" t="inlineStr">
        <is>
          <t>Cash dividend paid</t>
        </is>
      </c>
      <c r="C24" s="9" t="n">
        <v>6682</v>
      </c>
      <c r="D24" s="9" t="n">
        <v>7229</v>
      </c>
      <c r="E24" s="9" t="n">
        <v>7638</v>
      </c>
      <c r="F24" s="9" t="n">
        <v>7864</v>
      </c>
      <c r="I24" s="2" t="inlineStr">
        <is>
          <t>Common dividends paid (outflow, shown positive)</t>
        </is>
      </c>
    </row>
    <row r="25">
      <c r="B25" s="8" t="inlineStr">
        <is>
          <t>Repurchase of capital stock</t>
        </is>
      </c>
      <c r="C25" s="9" t="n">
        <v>1000</v>
      </c>
      <c r="D25" s="9" t="n">
        <v>1000</v>
      </c>
      <c r="E25" s="9" t="n">
        <v>1000</v>
      </c>
      <c r="F25" s="9" t="n">
        <v>728</v>
      </c>
      <c r="I25" s="2" t="inlineStr">
        <is>
          <t>Buybacks (outflow, shown positive)</t>
        </is>
      </c>
    </row>
    <row r="26">
      <c r="B26" s="8" t="inlineStr">
        <is>
          <t>CapEx</t>
        </is>
      </c>
      <c r="C26" s="9" t="n">
        <v>5518</v>
      </c>
      <c r="D26" s="9" t="n">
        <v>5318</v>
      </c>
      <c r="E26" s="9" t="n">
        <v>4415</v>
      </c>
      <c r="F26" s="9" t="n">
        <v>4259</v>
      </c>
    </row>
    <row r="27">
      <c r="B27" s="8" t="inlineStr">
        <is>
          <t>Free cash flow</t>
        </is>
      </c>
      <c r="C27" s="9" t="n">
        <v>7924</v>
      </c>
      <c r="D27" s="9" t="n">
        <v>7189</v>
      </c>
      <c r="E27" s="9" t="n">
        <v>7672</v>
      </c>
      <c r="F27" s="9" t="n">
        <v>8842</v>
      </c>
    </row>
    <row r="28">
      <c r="B28" s="6" t="inlineStr">
        <is>
          <t>MARKET DATA</t>
        </is>
      </c>
      <c r="C28" s="7" t="n"/>
      <c r="D28" s="7" t="n"/>
      <c r="E28" s="7" t="n"/>
      <c r="F28" s="7" t="n"/>
    </row>
    <row r="29">
      <c r="B29" s="8" t="inlineStr">
        <is>
          <t>Total shares (diluted)</t>
        </is>
      </c>
      <c r="C29" s="9" t="n">
        <v>1376</v>
      </c>
      <c r="D29" s="9" t="n">
        <v>1373</v>
      </c>
      <c r="E29" s="9" t="n">
        <v>1369</v>
      </c>
      <c r="F29" s="9" t="n">
        <v>1370</v>
      </c>
    </row>
    <row r="30">
      <c r="B30" s="8" t="inlineStr">
        <is>
          <t>Market price</t>
        </is>
      </c>
      <c r="C30" s="10" t="n">
        <v>169.84</v>
      </c>
      <c r="D30" s="10" t="n">
        <v>152.03</v>
      </c>
      <c r="E30" s="10" t="n">
        <v>143.6</v>
      </c>
      <c r="F30" s="10" t="n">
        <v>135.4</v>
      </c>
    </row>
    <row r="31">
      <c r="B31" s="8" t="inlineStr">
        <is>
          <t>Market cap.</t>
        </is>
      </c>
      <c r="C31" s="9">
        <f>C30*C29</f>
        <v/>
      </c>
      <c r="D31" s="9">
        <f>D30*D29</f>
        <v/>
      </c>
      <c r="E31" s="9">
        <f>E30*E29</f>
        <v/>
      </c>
      <c r="F31" s="9">
        <f>F30*F29</f>
        <v/>
      </c>
    </row>
    <row r="32">
      <c r="B32" s="6" t="inlineStr">
        <is>
          <t>VALUATION &amp; QUALITY RATIOS</t>
        </is>
      </c>
      <c r="C32" s="7" t="n"/>
      <c r="D32" s="7" t="n"/>
      <c r="E32" s="7" t="n"/>
      <c r="F32" s="7" t="n"/>
    </row>
    <row r="33">
      <c r="B33" s="8" t="inlineStr">
        <is>
          <t>1. Δ Revenue (YoY)</t>
        </is>
      </c>
      <c r="C33" s="11" t="n"/>
      <c r="D33" s="11">
        <f>D6/C6-1</f>
        <v/>
      </c>
      <c r="E33" s="11">
        <f>E6/D6-1</f>
        <v/>
      </c>
      <c r="F33" s="11">
        <f>F6/E6-1</f>
        <v/>
      </c>
      <c r="H33" s="12">
        <f>IF(NOT(ISNUMBER(F33)),"",IF(F33&gt;=0.1,"BUY",IF(F33&lt;0,"SELL","HOLD")))</f>
        <v/>
      </c>
      <c r="I33" s="2" t="inlineStr">
        <is>
          <t>YoY revenue growth</t>
        </is>
      </c>
    </row>
    <row r="34">
      <c r="B34" s="8" t="inlineStr">
        <is>
          <t>2. Δ Net income (YoY)</t>
        </is>
      </c>
      <c r="C34" s="11" t="n"/>
      <c r="D34" s="11">
        <f>IF(C9&lt;=0,1,D9/C9-1)</f>
        <v/>
      </c>
      <c r="E34" s="11">
        <f>IF(D9&lt;=0,1,E9/D9-1)</f>
        <v/>
      </c>
      <c r="F34" s="11">
        <f>IF(E9&lt;=0,1,F9/E9-1)</f>
        <v/>
      </c>
      <c r="H34" s="12">
        <f>IF(NOT(ISNUMBER(F34)),"",IF(F34&gt;=0.1,"BUY",IF(F34&lt;0,"SELL","HOLD")))</f>
        <v/>
      </c>
      <c r="I34" s="2" t="inlineStr">
        <is>
          <t>YoY earnings growth (capped at +100% when prior year &lt;= 0)</t>
        </is>
      </c>
    </row>
    <row r="35">
      <c r="B35" s="8" t="inlineStr">
        <is>
          <t>3. P/E (trailing)</t>
        </is>
      </c>
      <c r="C35" s="13">
        <f>C31/C9</f>
        <v/>
      </c>
      <c r="D35" s="13">
        <f>D31/D9</f>
        <v/>
      </c>
      <c r="E35" s="13">
        <f>E31/E9</f>
        <v/>
      </c>
      <c r="F35" s="13">
        <f>F31/F9</f>
        <v/>
      </c>
      <c r="G35" s="13" t="n"/>
      <c r="H35" s="12">
        <f>IF(OR(G35="",NOT(ISNUMBER(F35)),F35&lt;=0),"",IF(F35&lt;G35*0.9,"BUY",IF(F35&gt;G35*1.1,"SELL","HOLD")))</f>
        <v/>
      </c>
      <c r="I35" s="2" t="inlineStr">
        <is>
          <t>Market cap / net income; vs peer median</t>
        </is>
      </c>
    </row>
    <row r="36">
      <c r="B36" s="14" t="inlineStr">
        <is>
          <t xml:space="preserve">   Forward P/E</t>
        </is>
      </c>
      <c r="C36" s="13" t="n"/>
      <c r="D36" s="13">
        <f>IF(ISNUMBER(D34),D31/(D9*(1+D34)),D31/D9)</f>
        <v/>
      </c>
      <c r="E36" s="13">
        <f>IF(ISNUMBER(E34),E31/(E9*(1+E34)),E31/E9)</f>
        <v/>
      </c>
      <c r="F36" s="13">
        <f>IF(ISNUMBER(F34),F31/(F9*(1+F34)),F31/F9)</f>
        <v/>
      </c>
      <c r="G36" s="13" t="n"/>
      <c r="H36" s="12">
        <f>IF(OR(G36="",NOT(ISNUMBER(F36)),F36&lt;=0),"",IF(F36&lt;G36*0.9,"BUY",IF(F36&gt;G36*1.1,"SELL","HOLD")))</f>
        <v/>
      </c>
      <c r="I36" s="2" t="inlineStr">
        <is>
          <t>Market cap / (net income * (1 + earnings growth)); vs peer median</t>
        </is>
      </c>
    </row>
    <row r="37">
      <c r="B37" s="8" t="inlineStr">
        <is>
          <t>4. ROCE</t>
        </is>
      </c>
      <c r="C37" s="11">
        <f>C8/C16</f>
        <v/>
      </c>
      <c r="D37" s="11">
        <f>D8/D16</f>
        <v/>
      </c>
      <c r="E37" s="11">
        <f>E8/E16</f>
        <v/>
      </c>
      <c r="F37" s="11">
        <f>F8/F16</f>
        <v/>
      </c>
      <c r="G37" s="11" t="n"/>
      <c r="H37" s="12">
        <f>IF(NOT(ISNUMBER(F37)),"",IF(F37&gt;=0.15,"BUY",IF(F37&lt;0.08,"SELL","HOLD")))</f>
        <v/>
      </c>
      <c r="I37" s="2" t="inlineStr">
        <is>
          <t>EBIT / capital employed (&gt;=15% BUY, &lt;8% SELL)</t>
        </is>
      </c>
    </row>
    <row r="38">
      <c r="B38" s="14" t="inlineStr">
        <is>
          <t xml:space="preserve">   ROE</t>
        </is>
      </c>
      <c r="C38" s="11">
        <f>C9/C17</f>
        <v/>
      </c>
      <c r="D38" s="11">
        <f>D9/D17</f>
        <v/>
      </c>
      <c r="E38" s="11">
        <f>E9/E17</f>
        <v/>
      </c>
      <c r="F38" s="11">
        <f>F9/F17</f>
        <v/>
      </c>
      <c r="G38" s="11" t="n"/>
      <c r="H38" s="12">
        <f>IF(NOT(ISNUMBER(F38)),"",IF(F38&gt;=0.15,"BUY",IF(F38&lt;0.08,"SELL","HOLD")))</f>
        <v/>
      </c>
      <c r="I38" s="2" t="inlineStr">
        <is>
          <t>Net income / equity — works for banks (&gt;=15% BUY, &lt;8% SELL)</t>
        </is>
      </c>
    </row>
    <row r="39">
      <c r="B39" s="14" t="inlineStr">
        <is>
          <t xml:space="preserve">   Acid ROCE</t>
        </is>
      </c>
      <c r="C39" s="11">
        <f>C8/(C31-C17)</f>
        <v/>
      </c>
      <c r="D39" s="11">
        <f>D8/(D31-D17)</f>
        <v/>
      </c>
      <c r="E39" s="11">
        <f>E8/(E31-E17)</f>
        <v/>
      </c>
      <c r="F39" s="11">
        <f>F8/(F31-F17)</f>
        <v/>
      </c>
      <c r="G39" s="11" t="n"/>
      <c r="H39" s="12">
        <f>IF(NOT(ISNUMBER(F39)),"",IF(F39&gt;=0.05,"BUY",IF(F39&lt;0.04,"SELL","HOLD")))</f>
        <v/>
      </c>
      <c r="I39" s="2" t="inlineStr">
        <is>
          <t>EBIT / (market cap - equity) (&gt;=5% BUY, 4-5% HOLD, &lt;4% SELL)</t>
        </is>
      </c>
    </row>
    <row r="40">
      <c r="B40" s="8" t="inlineStr">
        <is>
          <t>5. EV / EBITDA</t>
        </is>
      </c>
      <c r="C40" s="13">
        <f>(C31+C18-C13)/C7</f>
        <v/>
      </c>
      <c r="D40" s="13">
        <f>(D31+D18-D13)/D7</f>
        <v/>
      </c>
      <c r="E40" s="13">
        <f>(E31+E18-E13)/E7</f>
        <v/>
      </c>
      <c r="F40" s="13">
        <f>(F31+F18-F13)/F7</f>
        <v/>
      </c>
      <c r="G40" s="13" t="n"/>
      <c r="H40" s="12">
        <f>IF(OR(G40="",NOT(ISNUMBER(F40)),F40&lt;=0),"",IF(F40&lt;G40*0.9,"BUY",IF(F40&gt;G40*1.1,"SELL","HOLD")))</f>
        <v/>
      </c>
      <c r="I40" s="2" t="inlineStr">
        <is>
          <t>Enterprise value / EBITDA; vs peer median</t>
        </is>
      </c>
    </row>
    <row r="41">
      <c r="B41" s="8" t="inlineStr">
        <is>
          <t>6. P / B</t>
        </is>
      </c>
      <c r="C41" s="13">
        <f>C31/C17</f>
        <v/>
      </c>
      <c r="D41" s="13">
        <f>D31/D17</f>
        <v/>
      </c>
      <c r="E41" s="13">
        <f>E31/E17</f>
        <v/>
      </c>
      <c r="F41" s="13">
        <f>F31/F17</f>
        <v/>
      </c>
      <c r="G41" s="13" t="n"/>
      <c r="H41" s="12">
        <f>IF(OR(G41="",NOT(ISNUMBER(F41)),F41&lt;=0),"",IF(F41&lt;G41*0.9,"BUY",IF(F41&gt;G41*1.1,"SELL","HOLD")))</f>
        <v/>
      </c>
      <c r="I41" s="2" t="inlineStr">
        <is>
          <t>vs peer median</t>
        </is>
      </c>
    </row>
    <row r="42">
      <c r="B42" s="14" t="inlineStr">
        <is>
          <t xml:space="preserve">   P / TBV</t>
        </is>
      </c>
      <c r="C42" s="13">
        <f>C31/(C17-C21)</f>
        <v/>
      </c>
      <c r="D42" s="13">
        <f>D31/(D17-D21)</f>
        <v/>
      </c>
      <c r="E42" s="13">
        <f>E31/(E17-E21)</f>
        <v/>
      </c>
      <c r="F42" s="13">
        <f>F31/(F17-F21)</f>
        <v/>
      </c>
      <c r="G42" s="13" t="n"/>
      <c r="H42" s="12">
        <f>IF(OR(G42="",NOT(ISNUMBER(F42)),F42&lt;=0),"",IF(F42&lt;G42*0.9,"BUY",IF(F42&gt;G42*1.1,"SELL","HOLD")))</f>
        <v/>
      </c>
      <c r="I42" s="2" t="inlineStr">
        <is>
          <t>Price / tangible book — key for banks; vs peer median</t>
        </is>
      </c>
    </row>
    <row r="43">
      <c r="B43" s="8" t="inlineStr">
        <is>
          <t>7. P / S</t>
        </is>
      </c>
      <c r="C43" s="13">
        <f>C31/C6</f>
        <v/>
      </c>
      <c r="D43" s="13">
        <f>D31/D6</f>
        <v/>
      </c>
      <c r="E43" s="13">
        <f>E31/E6</f>
        <v/>
      </c>
      <c r="F43" s="13">
        <f>F31/F6</f>
        <v/>
      </c>
      <c r="G43" s="13" t="n"/>
      <c r="H43" s="12">
        <f>IF(OR(G43="",NOT(ISNUMBER(F43)),F43&lt;=0),"",IF(F43&lt;G43*0.9,"BUY",IF(F43&gt;G43*1.1,"SELL","HOLD")))</f>
        <v/>
      </c>
      <c r="I43" s="2" t="inlineStr">
        <is>
          <t>vs peer median</t>
        </is>
      </c>
    </row>
    <row r="44">
      <c r="B44" s="8" t="inlineStr">
        <is>
          <t>8. EV / FCF</t>
        </is>
      </c>
      <c r="C44" s="13">
        <f>(C31+C18-C13)/C27</f>
        <v/>
      </c>
      <c r="D44" s="13">
        <f>(D31+D18-D13)/D27</f>
        <v/>
      </c>
      <c r="E44" s="13">
        <f>(E31+E18-E13)/E27</f>
        <v/>
      </c>
      <c r="F44" s="13">
        <f>(F31+F18-F13)/F27</f>
        <v/>
      </c>
      <c r="G44" s="13" t="n"/>
      <c r="H44" s="12">
        <f>IF(OR(G44="",NOT(ISNUMBER(F44)),F44&lt;=0),"",IF(F44&lt;G44*0.9,"BUY",IF(F44&gt;G44*1.1,"SELL","HOLD")))</f>
        <v/>
      </c>
      <c r="I44" s="2" t="inlineStr">
        <is>
          <t>vs peer median</t>
        </is>
      </c>
    </row>
    <row r="45">
      <c r="B45" s="8" t="inlineStr">
        <is>
          <t>9. Dividend yield</t>
        </is>
      </c>
      <c r="C45" s="15">
        <f>C24/C31</f>
        <v/>
      </c>
      <c r="D45" s="15">
        <f>D24/D31</f>
        <v/>
      </c>
      <c r="E45" s="15">
        <f>E24/E31</f>
        <v/>
      </c>
      <c r="F45" s="15">
        <f>F24/F31</f>
        <v/>
      </c>
      <c r="H45" s="12">
        <f>IF(NOT(ISNUMBER(F45)),"",IF(F45&gt;=0.03,"BUY",IF(F45&lt;0.01,"SELL","HOLD")))</f>
        <v/>
      </c>
      <c r="I45" s="2" t="inlineStr">
        <is>
          <t>Dividends paid / market cap (&gt;=3% BUY, &lt;1% SELL)</t>
        </is>
      </c>
    </row>
    <row r="46">
      <c r="B46" s="8" t="inlineStr">
        <is>
          <t>10. Total shareholder return</t>
        </is>
      </c>
      <c r="C46" s="11">
        <f>(C24+C25)/C31</f>
        <v/>
      </c>
      <c r="D46" s="11">
        <f>(D24+D25)/D31</f>
        <v/>
      </c>
      <c r="E46" s="11">
        <f>(E24+E25)/E31</f>
        <v/>
      </c>
      <c r="F46" s="11">
        <f>(F24+F25)/F31</f>
        <v/>
      </c>
      <c r="G46" s="11" t="n"/>
      <c r="H46" s="12">
        <f>IF(NOT(ISNUMBER(F46)),"",IF(F46&gt;=0.05,"BUY",IF(F46&lt;0.02,"SELL","HOLD")))</f>
        <v/>
      </c>
      <c r="I46" s="2" t="inlineStr">
        <is>
          <t>(dividends + buybacks) / market cap (&gt;=5% BUY, &lt;2% SELL)</t>
        </is>
      </c>
    </row>
    <row r="47">
      <c r="B47" s="8" t="inlineStr">
        <is>
          <t>11. CapEx / EBITDA</t>
        </is>
      </c>
      <c r="C47" s="11">
        <f>C26/C7</f>
        <v/>
      </c>
      <c r="D47" s="11">
        <f>D26/D7</f>
        <v/>
      </c>
      <c r="E47" s="11">
        <f>E26/E7</f>
        <v/>
      </c>
      <c r="F47" s="11">
        <f>F26/F7</f>
        <v/>
      </c>
      <c r="G47" s="11" t="n"/>
      <c r="I47" s="2" t="inlineStr">
        <is>
          <t>informational; vs peer median</t>
        </is>
      </c>
    </row>
    <row r="48">
      <c r="B48" s="8" t="inlineStr">
        <is>
          <t>12. CapEx / D&amp;A</t>
        </is>
      </c>
      <c r="C48" s="13">
        <f>C26/C10</f>
        <v/>
      </c>
      <c r="D48" s="13">
        <f>D26/D10</f>
        <v/>
      </c>
      <c r="E48" s="13">
        <f>E26/E10</f>
        <v/>
      </c>
      <c r="F48" s="13">
        <f>F26/F10</f>
        <v/>
      </c>
      <c r="G48" s="13" t="n"/>
      <c r="I48" s="2" t="inlineStr">
        <is>
          <t>informational; vs peer median</t>
        </is>
      </c>
    </row>
    <row r="49">
      <c r="B49" s="8" t="inlineStr">
        <is>
          <t>13. Ratio de endeudamiento</t>
        </is>
      </c>
      <c r="C49" s="11">
        <f>C19/C12</f>
        <v/>
      </c>
      <c r="D49" s="11">
        <f>D19/D12</f>
        <v/>
      </c>
      <c r="E49" s="11">
        <f>E19/E12</f>
        <v/>
      </c>
      <c r="F49" s="11">
        <f>F19/F12</f>
        <v/>
      </c>
      <c r="G49" s="11" t="n"/>
      <c r="H49" s="12">
        <f>IF(NOT(ISNUMBER(F49)),"",IF(F49&lt;=0.3,"BUY",IF(F49&gt;0.6,"SELL","HOLD")))</f>
        <v/>
      </c>
      <c r="I49" s="2" t="inlineStr">
        <is>
          <t>Total debt / total assets (&lt;=30% BUY, &gt;60% SELL)</t>
        </is>
      </c>
    </row>
    <row r="50">
      <c r="B50" s="8" t="inlineStr">
        <is>
          <t>14. Deuda financiera neta / activos (libros)</t>
        </is>
      </c>
      <c r="C50" s="11">
        <f>C20/(C20+C12)</f>
        <v/>
      </c>
      <c r="D50" s="11">
        <f>D20/(D20+D12)</f>
        <v/>
      </c>
      <c r="E50" s="11">
        <f>E20/(E20+E12)</f>
        <v/>
      </c>
      <c r="F50" s="11">
        <f>F20/(F20+F12)</f>
        <v/>
      </c>
      <c r="G50" s="11" t="n"/>
      <c r="H50" s="12">
        <f>IF(NOT(ISNUMBER(F50)),"",IF(F50&lt;=0.2,"BUY",IF(F50&gt;0.4,"SELL","HOLD")))</f>
        <v/>
      </c>
      <c r="I50" s="2" t="inlineStr">
        <is>
          <t>Net debt / (net debt + total assets) (&lt;=20% BUY, &gt;40% SELL)</t>
        </is>
      </c>
    </row>
    <row r="51">
      <c r="B51" s="8" t="inlineStr">
        <is>
          <t>15. Deuda financiera neta / market cap</t>
        </is>
      </c>
      <c r="C51" s="11">
        <f>C20/C31</f>
        <v/>
      </c>
      <c r="D51" s="11">
        <f>D20/D31</f>
        <v/>
      </c>
      <c r="E51" s="11">
        <f>E20/E31</f>
        <v/>
      </c>
      <c r="F51" s="11">
        <f>F20/F31</f>
        <v/>
      </c>
      <c r="G51" s="11" t="n"/>
      <c r="H51" s="12">
        <f>IF(NOT(ISNUMBER(F51)),"",IF(F51&lt;=0.15,"BUY",IF(F51&gt;0.4,"SELL","HOLD")))</f>
        <v/>
      </c>
      <c r="I51" s="2" t="inlineStr">
        <is>
          <t>Net debt / market cap (&lt;=15% BUY, &gt;40% SELL)</t>
        </is>
      </c>
    </row>
    <row r="52">
      <c r="B52" s="8" t="inlineStr">
        <is>
          <t>16. Price estimate (Trefis)</t>
        </is>
      </c>
      <c r="C52" s="10" t="n"/>
      <c r="D52" s="10" t="n"/>
      <c r="E52" s="10" t="n"/>
      <c r="F52" s="10" t="n"/>
      <c r="H52" s="12">
        <f>IF(OR(F52="",F30=""),"",IF(F52&gt;F30*1.1,"BUY",IF(F52&lt;F30*0.9,"SELL","HOLD")))</f>
        <v/>
      </c>
      <c r="I52" s="2" t="inlineStr">
        <is>
          <t>External target vs price (&gt;+10% BUY, &lt;-10% SELL)</t>
        </is>
      </c>
    </row>
    <row r="54">
      <c r="B54" s="16" t="inlineStr">
        <is>
          <t>Run-rate: 2026-03 (run-rate) annualizes reported year-to-date flows; balance-sheet items are the latest reported quarter (point-in-time).</t>
        </is>
      </c>
    </row>
    <row r="55">
      <c r="B55" s="17" t="inlineStr">
        <is>
          <t>Reorganized from Analisis_MSFT_GOOGL_PEP.xlsx (MSFT converted from thousands to millions). Total debt / net debt / dividends / buybacks back-filled from Yahoo Finance.</t>
        </is>
      </c>
    </row>
  </sheetData>
  <conditionalFormatting sqref="H5:H53">
    <cfRule type="cellIs" priority="1" operator="equal" dxfId="0">
      <formula>"BUY"</formula>
    </cfRule>
    <cfRule type="cellIs" priority="2" operator="equal" dxfId="1">
      <formula>"HOLD"</formula>
    </cfRule>
    <cfRule type="cellIs" priority="3" operator="equal" dxfId="2">
      <formula>"SELL"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8" customWidth="1" min="8" max="8"/>
    <col width="44" customWidth="1" min="9" max="9"/>
  </cols>
  <sheetData>
    <row r="1">
      <c r="B1" s="1" t="inlineStr">
        <is>
          <t>GOOGL  —  Fundamental Analysis</t>
        </is>
      </c>
    </row>
    <row r="2">
      <c r="B2" s="2" t="inlineStr">
        <is>
          <t>Units: US$ millions (except per-share &amp; ratios)</t>
        </is>
      </c>
    </row>
    <row r="4">
      <c r="B4" t="inlineStr"/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2026-03 (run-rate)</t>
        </is>
      </c>
      <c r="G4" s="4" t="inlineStr">
        <is>
          <t>Peer median</t>
        </is>
      </c>
      <c r="H4" s="4" t="inlineStr">
        <is>
          <t>Rec.</t>
        </is>
      </c>
      <c r="I4" s="5" t="inlineStr">
        <is>
          <t>Definition / source</t>
        </is>
      </c>
    </row>
    <row r="5">
      <c r="B5" s="6" t="inlineStr">
        <is>
          <t>INCOME STATEMENT</t>
        </is>
      </c>
      <c r="C5" s="7" t="n"/>
      <c r="D5" s="7" t="n"/>
      <c r="E5" s="7" t="n"/>
      <c r="F5" s="7" t="n"/>
    </row>
    <row r="6">
      <c r="B6" s="8" t="inlineStr">
        <is>
          <t>Revenue</t>
        </is>
      </c>
      <c r="C6" s="9" t="n">
        <v>307394</v>
      </c>
      <c r="D6" s="9" t="n">
        <v>350018</v>
      </c>
      <c r="E6" s="9" t="n">
        <v>402836</v>
      </c>
      <c r="F6" s="9" t="n">
        <v>422499</v>
      </c>
    </row>
    <row r="7">
      <c r="B7" s="8" t="inlineStr">
        <is>
          <t>EBITDA</t>
        </is>
      </c>
      <c r="C7" s="9" t="n">
        <v>97971</v>
      </c>
      <c r="D7" s="9" t="n">
        <v>135394</v>
      </c>
      <c r="E7" s="9" t="n">
        <v>180698</v>
      </c>
      <c r="F7" s="9" t="n">
        <v>217580</v>
      </c>
    </row>
    <row r="8">
      <c r="B8" s="8" t="inlineStr">
        <is>
          <t>EBIT (operating income)</t>
        </is>
      </c>
      <c r="C8" s="9" t="n">
        <v>85717</v>
      </c>
      <c r="D8" s="9" t="n">
        <v>120083</v>
      </c>
      <c r="E8" s="9" t="n">
        <v>159562</v>
      </c>
      <c r="F8" s="9" t="n">
        <v>194449</v>
      </c>
    </row>
    <row r="9">
      <c r="B9" s="8" t="inlineStr">
        <is>
          <t>Net income</t>
        </is>
      </c>
      <c r="C9" s="9" t="n">
        <v>73795</v>
      </c>
      <c r="D9" s="9" t="n">
        <v>100118</v>
      </c>
      <c r="E9" s="9" t="n">
        <v>132170</v>
      </c>
      <c r="F9" s="9" t="n">
        <v>160208</v>
      </c>
    </row>
    <row r="10">
      <c r="B10" s="8" t="inlineStr">
        <is>
          <t>D&amp;A</t>
        </is>
      </c>
      <c r="C10" s="9" t="n">
        <v>12254</v>
      </c>
      <c r="D10" s="9" t="n">
        <v>15311</v>
      </c>
      <c r="E10" s="9" t="n">
        <v>21136</v>
      </c>
      <c r="F10" s="9" t="n">
        <v>23131</v>
      </c>
    </row>
    <row r="11">
      <c r="B11" s="6" t="inlineStr">
        <is>
          <t>BALANCE SHEET</t>
        </is>
      </c>
      <c r="C11" s="7" t="n"/>
      <c r="D11" s="7" t="n"/>
      <c r="E11" s="7" t="n"/>
      <c r="F11" s="7" t="n"/>
    </row>
    <row r="12">
      <c r="B12" s="8" t="inlineStr">
        <is>
          <t>Total assets</t>
        </is>
      </c>
      <c r="C12" s="9" t="n">
        <v>402392</v>
      </c>
      <c r="D12" s="9" t="n">
        <v>450256</v>
      </c>
      <c r="E12" s="9" t="n">
        <v>595281</v>
      </c>
      <c r="F12" s="9" t="n">
        <v>703919</v>
      </c>
    </row>
    <row r="13">
      <c r="B13" s="8" t="inlineStr">
        <is>
          <t>Cash &amp; marketable securities</t>
        </is>
      </c>
      <c r="C13" s="9" t="n">
        <v>110916</v>
      </c>
      <c r="D13" s="9" t="n">
        <v>95657</v>
      </c>
      <c r="E13" s="9" t="n">
        <v>126843</v>
      </c>
      <c r="F13" s="9" t="n">
        <v>126840</v>
      </c>
    </row>
    <row r="14">
      <c r="B14" s="8" t="inlineStr">
        <is>
          <t>Non-marketable securities</t>
        </is>
      </c>
      <c r="C14" s="9" t="n">
        <v>31008</v>
      </c>
      <c r="D14" s="9" t="n">
        <v>37982</v>
      </c>
      <c r="E14" s="9" t="n">
        <v>68687</v>
      </c>
      <c r="F14" s="9" t="n">
        <v>106946</v>
      </c>
    </row>
    <row r="15">
      <c r="B15" s="8" t="inlineStr">
        <is>
          <t>Current liabilities</t>
        </is>
      </c>
      <c r="C15" s="9" t="n">
        <v>81814</v>
      </c>
      <c r="D15" s="9" t="n">
        <v>89122</v>
      </c>
      <c r="E15" s="9" t="n">
        <v>102750</v>
      </c>
      <c r="F15" s="9" t="n">
        <v>111188</v>
      </c>
    </row>
    <row r="16">
      <c r="B16" s="8" t="inlineStr">
        <is>
          <t>Capital employed</t>
        </is>
      </c>
      <c r="C16" s="9">
        <f>C12-C13-C14-C15</f>
        <v/>
      </c>
      <c r="D16" s="9">
        <f>D12-D13-D14-D15</f>
        <v/>
      </c>
      <c r="E16" s="9">
        <f>E12-E13-E14-E15</f>
        <v/>
      </c>
      <c r="F16" s="9">
        <f>F12-F13-F14-F15</f>
        <v/>
      </c>
      <c r="I16" s="2" t="inlineStr">
        <is>
          <t>Total assets - cash - non-mktb sec. - current liabilities</t>
        </is>
      </c>
    </row>
    <row r="17">
      <c r="B17" s="8" t="inlineStr">
        <is>
          <t>Stockholders' equity</t>
        </is>
      </c>
      <c r="C17" s="9" t="n">
        <v>283379</v>
      </c>
      <c r="D17" s="9" t="n">
        <v>325084</v>
      </c>
      <c r="E17" s="9" t="n">
        <v>415265</v>
      </c>
      <c r="F17" s="9" t="n">
        <v>478746</v>
      </c>
    </row>
    <row r="18">
      <c r="B18" s="8" t="inlineStr">
        <is>
          <t>Total liabilities</t>
        </is>
      </c>
      <c r="C18" s="9" t="n">
        <v>119013</v>
      </c>
      <c r="D18" s="9" t="n">
        <v>125172</v>
      </c>
      <c r="E18" s="9" t="n">
        <v>180020</v>
      </c>
      <c r="F18" s="9" t="n">
        <v>225173</v>
      </c>
    </row>
    <row r="19">
      <c r="B19" s="8" t="inlineStr">
        <is>
          <t>Total debt</t>
        </is>
      </c>
      <c r="C19" s="9" t="n">
        <v>27121</v>
      </c>
      <c r="D19" s="9" t="n">
        <v>22574</v>
      </c>
      <c r="E19" s="9" t="n">
        <v>59291</v>
      </c>
      <c r="F19" s="9" t="n">
        <v>90484</v>
      </c>
      <c r="I19" s="2" t="inlineStr">
        <is>
          <t>Short-term + long-term interest-bearing debt</t>
        </is>
      </c>
    </row>
    <row r="20">
      <c r="B20" s="8" t="inlineStr">
        <is>
          <t>Net debt</t>
        </is>
      </c>
      <c r="C20" s="9" t="n">
        <v>3073</v>
      </c>
      <c r="D20" s="9" t="n">
        <v>-892</v>
      </c>
      <c r="E20" s="9" t="n">
        <v>15839</v>
      </c>
      <c r="F20" s="9" t="n">
        <v>39438</v>
      </c>
      <c r="I20" s="2" t="inlineStr">
        <is>
          <t>Total debt - cash &amp; equivalents</t>
        </is>
      </c>
    </row>
    <row r="21">
      <c r="B21" s="8" t="inlineStr">
        <is>
          <t>Goodwill &amp; intangibles</t>
        </is>
      </c>
      <c r="C21" s="9" t="n">
        <v>29198</v>
      </c>
      <c r="D21" s="9" t="n">
        <v>31885</v>
      </c>
      <c r="E21" s="9" t="n">
        <v>33380</v>
      </c>
      <c r="F21" s="9" t="n">
        <v>67218</v>
      </c>
      <c r="I21" s="2" t="inlineStr">
        <is>
          <t>For tangible book value (P/TBV)</t>
        </is>
      </c>
    </row>
    <row r="22">
      <c r="B22" s="6" t="inlineStr">
        <is>
          <t>CASH FLOW</t>
        </is>
      </c>
      <c r="C22" s="7" t="n"/>
      <c r="D22" s="7" t="n"/>
      <c r="E22" s="7" t="n"/>
      <c r="F22" s="7" t="n"/>
    </row>
    <row r="23">
      <c r="B23" s="8" t="inlineStr">
        <is>
          <t>Operating cash flow</t>
        </is>
      </c>
      <c r="C23" s="9" t="n"/>
      <c r="D23" s="9" t="n"/>
      <c r="E23" s="9" t="n"/>
      <c r="F23" s="9" t="n">
        <v>174353</v>
      </c>
    </row>
    <row r="24">
      <c r="B24" s="8" t="inlineStr">
        <is>
          <t>Cash dividend paid</t>
        </is>
      </c>
      <c r="C24" s="9" t="n">
        <v>0</v>
      </c>
      <c r="D24" s="9" t="n">
        <v>7363</v>
      </c>
      <c r="E24" s="9" t="n">
        <v>10049</v>
      </c>
      <c r="F24" s="9" t="n">
        <v>10168</v>
      </c>
      <c r="I24" s="2" t="inlineStr">
        <is>
          <t>Common dividends paid (outflow, shown positive)</t>
        </is>
      </c>
    </row>
    <row r="25">
      <c r="B25" s="8" t="inlineStr">
        <is>
          <t>Repurchase of capital stock</t>
        </is>
      </c>
      <c r="C25" s="9" t="n">
        <v>61504</v>
      </c>
      <c r="D25" s="9" t="n">
        <v>62222</v>
      </c>
      <c r="E25" s="9" t="n">
        <v>45709</v>
      </c>
      <c r="F25" s="9" t="n">
        <v>0</v>
      </c>
      <c r="I25" s="2" t="inlineStr">
        <is>
          <t>Buybacks (outflow, shown positive)</t>
        </is>
      </c>
    </row>
    <row r="26">
      <c r="B26" s="8" t="inlineStr">
        <is>
          <t>CapEx</t>
        </is>
      </c>
      <c r="C26" s="9" t="n">
        <v>32251</v>
      </c>
      <c r="D26" s="9" t="n">
        <v>52535</v>
      </c>
      <c r="E26" s="9" t="n">
        <v>91447</v>
      </c>
      <c r="F26" s="9" t="n">
        <v>109924</v>
      </c>
    </row>
    <row r="27">
      <c r="B27" s="8" t="inlineStr">
        <is>
          <t>Free cash flow</t>
        </is>
      </c>
      <c r="C27" s="9" t="n">
        <v>69495</v>
      </c>
      <c r="D27" s="9" t="n">
        <v>72764</v>
      </c>
      <c r="E27" s="9" t="n">
        <v>73266</v>
      </c>
      <c r="F27" s="9" t="n">
        <v>64429</v>
      </c>
    </row>
    <row r="28">
      <c r="B28" s="6" t="inlineStr">
        <is>
          <t>MARKET DATA</t>
        </is>
      </c>
      <c r="C28" s="7" t="n"/>
      <c r="D28" s="7" t="n"/>
      <c r="E28" s="7" t="n"/>
      <c r="F28" s="7" t="n"/>
    </row>
    <row r="29">
      <c r="B29" s="8" t="inlineStr">
        <is>
          <t>Total shares (diluted)</t>
        </is>
      </c>
      <c r="C29" s="9" t="n">
        <v>12630</v>
      </c>
      <c r="D29" s="9" t="n">
        <v>12319</v>
      </c>
      <c r="E29" s="9" t="n">
        <v>12116</v>
      </c>
      <c r="F29" s="9" t="n">
        <v>12095</v>
      </c>
    </row>
    <row r="30">
      <c r="B30" s="8" t="inlineStr">
        <is>
          <t>Market price</t>
        </is>
      </c>
      <c r="C30" s="10" t="n">
        <v>139.69</v>
      </c>
      <c r="D30" s="10" t="n">
        <v>189.3</v>
      </c>
      <c r="E30" s="10" t="n">
        <v>313</v>
      </c>
      <c r="F30" s="10" t="n">
        <v>357.37</v>
      </c>
    </row>
    <row r="31">
      <c r="B31" s="8" t="inlineStr">
        <is>
          <t>Market cap.</t>
        </is>
      </c>
      <c r="C31" s="9">
        <f>C30*C29</f>
        <v/>
      </c>
      <c r="D31" s="9">
        <f>D30*D29</f>
        <v/>
      </c>
      <c r="E31" s="9">
        <f>E30*E29</f>
        <v/>
      </c>
      <c r="F31" s="9">
        <f>F30*F29</f>
        <v/>
      </c>
    </row>
    <row r="32">
      <c r="B32" s="6" t="inlineStr">
        <is>
          <t>VALUATION &amp; QUALITY RATIOS</t>
        </is>
      </c>
      <c r="C32" s="7" t="n"/>
      <c r="D32" s="7" t="n"/>
      <c r="E32" s="7" t="n"/>
      <c r="F32" s="7" t="n"/>
    </row>
    <row r="33">
      <c r="B33" s="8" t="inlineStr">
        <is>
          <t>1. Δ Revenue (YoY)</t>
        </is>
      </c>
      <c r="C33" s="11" t="n"/>
      <c r="D33" s="11">
        <f>D6/C6-1</f>
        <v/>
      </c>
      <c r="E33" s="11">
        <f>E6/D6-1</f>
        <v/>
      </c>
      <c r="F33" s="11">
        <f>F6/E6-1</f>
        <v/>
      </c>
      <c r="H33" s="12">
        <f>IF(NOT(ISNUMBER(F33)),"",IF(F33&gt;=0.1,"BUY",IF(F33&lt;0,"SELL","HOLD")))</f>
        <v/>
      </c>
      <c r="I33" s="2" t="inlineStr">
        <is>
          <t>YoY revenue growth</t>
        </is>
      </c>
    </row>
    <row r="34">
      <c r="B34" s="8" t="inlineStr">
        <is>
          <t>2. Δ Net income (YoY)</t>
        </is>
      </c>
      <c r="C34" s="11" t="n"/>
      <c r="D34" s="11">
        <f>IF(C9&lt;=0,1,D9/C9-1)</f>
        <v/>
      </c>
      <c r="E34" s="11">
        <f>IF(D9&lt;=0,1,E9/D9-1)</f>
        <v/>
      </c>
      <c r="F34" s="11">
        <f>IF(E9&lt;=0,1,F9/E9-1)</f>
        <v/>
      </c>
      <c r="H34" s="12">
        <f>IF(NOT(ISNUMBER(F34)),"",IF(F34&gt;=0.1,"BUY",IF(F34&lt;0,"SELL","HOLD")))</f>
        <v/>
      </c>
      <c r="I34" s="2" t="inlineStr">
        <is>
          <t>YoY earnings growth (capped at +100% when prior year &lt;= 0)</t>
        </is>
      </c>
    </row>
    <row r="35">
      <c r="B35" s="8" t="inlineStr">
        <is>
          <t>3. P/E (trailing)</t>
        </is>
      </c>
      <c r="C35" s="13">
        <f>C31/C9</f>
        <v/>
      </c>
      <c r="D35" s="13">
        <f>D31/D9</f>
        <v/>
      </c>
      <c r="E35" s="13">
        <f>E31/E9</f>
        <v/>
      </c>
      <c r="F35" s="13">
        <f>F31/F9</f>
        <v/>
      </c>
      <c r="G35" s="13" t="n"/>
      <c r="H35" s="12">
        <f>IF(OR(G35="",NOT(ISNUMBER(F35)),F35&lt;=0),"",IF(F35&lt;G35*0.9,"BUY",IF(F35&gt;G35*1.1,"SELL","HOLD")))</f>
        <v/>
      </c>
      <c r="I35" s="2" t="inlineStr">
        <is>
          <t>Market cap / net income; vs peer median</t>
        </is>
      </c>
    </row>
    <row r="36">
      <c r="B36" s="14" t="inlineStr">
        <is>
          <t xml:space="preserve">   Forward P/E</t>
        </is>
      </c>
      <c r="C36" s="13" t="n"/>
      <c r="D36" s="13">
        <f>IF(ISNUMBER(D34),D31/(D9*(1+D34)),D31/D9)</f>
        <v/>
      </c>
      <c r="E36" s="13">
        <f>IF(ISNUMBER(E34),E31/(E9*(1+E34)),E31/E9)</f>
        <v/>
      </c>
      <c r="F36" s="13">
        <f>IF(ISNUMBER(F34),F31/(F9*(1+F34)),F31/F9)</f>
        <v/>
      </c>
      <c r="G36" s="13" t="n"/>
      <c r="H36" s="12">
        <f>IF(OR(G36="",NOT(ISNUMBER(F36)),F36&lt;=0),"",IF(F36&lt;G36*0.9,"BUY",IF(F36&gt;G36*1.1,"SELL","HOLD")))</f>
        <v/>
      </c>
      <c r="I36" s="2" t="inlineStr">
        <is>
          <t>Market cap / (net income * (1 + earnings growth)); vs peer median</t>
        </is>
      </c>
    </row>
    <row r="37">
      <c r="B37" s="8" t="inlineStr">
        <is>
          <t>4. ROCE</t>
        </is>
      </c>
      <c r="C37" s="11">
        <f>C8/C16</f>
        <v/>
      </c>
      <c r="D37" s="11">
        <f>D8/D16</f>
        <v/>
      </c>
      <c r="E37" s="11">
        <f>E8/E16</f>
        <v/>
      </c>
      <c r="F37" s="11">
        <f>F8/F16</f>
        <v/>
      </c>
      <c r="G37" s="11" t="n"/>
      <c r="H37" s="12">
        <f>IF(NOT(ISNUMBER(F37)),"",IF(F37&gt;=0.15,"BUY",IF(F37&lt;0.08,"SELL","HOLD")))</f>
        <v/>
      </c>
      <c r="I37" s="2" t="inlineStr">
        <is>
          <t>EBIT / capital employed (&gt;=15% BUY, &lt;8% SELL)</t>
        </is>
      </c>
    </row>
    <row r="38">
      <c r="B38" s="14" t="inlineStr">
        <is>
          <t xml:space="preserve">   ROE</t>
        </is>
      </c>
      <c r="C38" s="11">
        <f>C9/C17</f>
        <v/>
      </c>
      <c r="D38" s="11">
        <f>D9/D17</f>
        <v/>
      </c>
      <c r="E38" s="11">
        <f>E9/E17</f>
        <v/>
      </c>
      <c r="F38" s="11">
        <f>F9/F17</f>
        <v/>
      </c>
      <c r="G38" s="11" t="n"/>
      <c r="H38" s="12">
        <f>IF(NOT(ISNUMBER(F38)),"",IF(F38&gt;=0.15,"BUY",IF(F38&lt;0.08,"SELL","HOLD")))</f>
        <v/>
      </c>
      <c r="I38" s="2" t="inlineStr">
        <is>
          <t>Net income / equity — works for banks (&gt;=15% BUY, &lt;8% SELL)</t>
        </is>
      </c>
    </row>
    <row r="39">
      <c r="B39" s="14" t="inlineStr">
        <is>
          <t xml:space="preserve">   Acid ROCE</t>
        </is>
      </c>
      <c r="C39" s="11">
        <f>C8/(C31-C17)</f>
        <v/>
      </c>
      <c r="D39" s="11">
        <f>D8/(D31-D17)</f>
        <v/>
      </c>
      <c r="E39" s="11">
        <f>E8/(E31-E17)</f>
        <v/>
      </c>
      <c r="F39" s="11">
        <f>F8/(F31-F17)</f>
        <v/>
      </c>
      <c r="G39" s="11" t="n"/>
      <c r="H39" s="12">
        <f>IF(NOT(ISNUMBER(F39)),"",IF(F39&gt;=0.05,"BUY",IF(F39&lt;0.04,"SELL","HOLD")))</f>
        <v/>
      </c>
      <c r="I39" s="2" t="inlineStr">
        <is>
          <t>EBIT / (market cap - equity) (&gt;=5% BUY, 4-5% HOLD, &lt;4% SELL)</t>
        </is>
      </c>
    </row>
    <row r="40">
      <c r="B40" s="8" t="inlineStr">
        <is>
          <t>5. EV / EBITDA</t>
        </is>
      </c>
      <c r="C40" s="13">
        <f>(C31+C18-C13)/C7</f>
        <v/>
      </c>
      <c r="D40" s="13">
        <f>(D31+D18-D13)/D7</f>
        <v/>
      </c>
      <c r="E40" s="13">
        <f>(E31+E18-E13)/E7</f>
        <v/>
      </c>
      <c r="F40" s="13">
        <f>(F31+F18-F13)/F7</f>
        <v/>
      </c>
      <c r="G40" s="13" t="n"/>
      <c r="H40" s="12">
        <f>IF(OR(G40="",NOT(ISNUMBER(F40)),F40&lt;=0),"",IF(F40&lt;G40*0.9,"BUY",IF(F40&gt;G40*1.1,"SELL","HOLD")))</f>
        <v/>
      </c>
      <c r="I40" s="2" t="inlineStr">
        <is>
          <t>Enterprise value / EBITDA; vs peer median</t>
        </is>
      </c>
    </row>
    <row r="41">
      <c r="B41" s="8" t="inlineStr">
        <is>
          <t>6. P / B</t>
        </is>
      </c>
      <c r="C41" s="13">
        <f>C31/C17</f>
        <v/>
      </c>
      <c r="D41" s="13">
        <f>D31/D17</f>
        <v/>
      </c>
      <c r="E41" s="13">
        <f>E31/E17</f>
        <v/>
      </c>
      <c r="F41" s="13">
        <f>F31/F17</f>
        <v/>
      </c>
      <c r="G41" s="13" t="n"/>
      <c r="H41" s="12">
        <f>IF(OR(G41="",NOT(ISNUMBER(F41)),F41&lt;=0),"",IF(F41&lt;G41*0.9,"BUY",IF(F41&gt;G41*1.1,"SELL","HOLD")))</f>
        <v/>
      </c>
      <c r="I41" s="2" t="inlineStr">
        <is>
          <t>vs peer median</t>
        </is>
      </c>
    </row>
    <row r="42">
      <c r="B42" s="14" t="inlineStr">
        <is>
          <t xml:space="preserve">   P / TBV</t>
        </is>
      </c>
      <c r="C42" s="13">
        <f>C31/(C17-C21)</f>
        <v/>
      </c>
      <c r="D42" s="13">
        <f>D31/(D17-D21)</f>
        <v/>
      </c>
      <c r="E42" s="13">
        <f>E31/(E17-E21)</f>
        <v/>
      </c>
      <c r="F42" s="13">
        <f>F31/(F17-F21)</f>
        <v/>
      </c>
      <c r="G42" s="13" t="n"/>
      <c r="H42" s="12">
        <f>IF(OR(G42="",NOT(ISNUMBER(F42)),F42&lt;=0),"",IF(F42&lt;G42*0.9,"BUY",IF(F42&gt;G42*1.1,"SELL","HOLD")))</f>
        <v/>
      </c>
      <c r="I42" s="2" t="inlineStr">
        <is>
          <t>Price / tangible book — key for banks; vs peer median</t>
        </is>
      </c>
    </row>
    <row r="43">
      <c r="B43" s="8" t="inlineStr">
        <is>
          <t>7. P / S</t>
        </is>
      </c>
      <c r="C43" s="13">
        <f>C31/C6</f>
        <v/>
      </c>
      <c r="D43" s="13">
        <f>D31/D6</f>
        <v/>
      </c>
      <c r="E43" s="13">
        <f>E31/E6</f>
        <v/>
      </c>
      <c r="F43" s="13">
        <f>F31/F6</f>
        <v/>
      </c>
      <c r="G43" s="13" t="n"/>
      <c r="H43" s="12">
        <f>IF(OR(G43="",NOT(ISNUMBER(F43)),F43&lt;=0),"",IF(F43&lt;G43*0.9,"BUY",IF(F43&gt;G43*1.1,"SELL","HOLD")))</f>
        <v/>
      </c>
      <c r="I43" s="2" t="inlineStr">
        <is>
          <t>vs peer median</t>
        </is>
      </c>
    </row>
    <row r="44">
      <c r="B44" s="8" t="inlineStr">
        <is>
          <t>8. EV / FCF</t>
        </is>
      </c>
      <c r="C44" s="13">
        <f>(C31+C18-C13)/C27</f>
        <v/>
      </c>
      <c r="D44" s="13">
        <f>(D31+D18-D13)/D27</f>
        <v/>
      </c>
      <c r="E44" s="13">
        <f>(E31+E18-E13)/E27</f>
        <v/>
      </c>
      <c r="F44" s="13">
        <f>(F31+F18-F13)/F27</f>
        <v/>
      </c>
      <c r="G44" s="13" t="n"/>
      <c r="H44" s="12">
        <f>IF(OR(G44="",NOT(ISNUMBER(F44)),F44&lt;=0),"",IF(F44&lt;G44*0.9,"BUY",IF(F44&gt;G44*1.1,"SELL","HOLD")))</f>
        <v/>
      </c>
      <c r="I44" s="2" t="inlineStr">
        <is>
          <t>vs peer median</t>
        </is>
      </c>
    </row>
    <row r="45">
      <c r="B45" s="8" t="inlineStr">
        <is>
          <t>9. Dividend yield</t>
        </is>
      </c>
      <c r="C45" s="15">
        <f>C24/C31</f>
        <v/>
      </c>
      <c r="D45" s="15">
        <f>D24/D31</f>
        <v/>
      </c>
      <c r="E45" s="15">
        <f>E24/E31</f>
        <v/>
      </c>
      <c r="F45" s="15">
        <f>F24/F31</f>
        <v/>
      </c>
      <c r="H45" s="12">
        <f>IF(NOT(ISNUMBER(F45)),"",IF(F45&gt;=0.03,"BUY",IF(F45&lt;0.01,"SELL","HOLD")))</f>
        <v/>
      </c>
      <c r="I45" s="2" t="inlineStr">
        <is>
          <t>Dividends paid / market cap (&gt;=3% BUY, &lt;1% SELL)</t>
        </is>
      </c>
    </row>
    <row r="46">
      <c r="B46" s="8" t="inlineStr">
        <is>
          <t>10. Total shareholder return</t>
        </is>
      </c>
      <c r="C46" s="11">
        <f>(C24+C25)/C31</f>
        <v/>
      </c>
      <c r="D46" s="11">
        <f>(D24+D25)/D31</f>
        <v/>
      </c>
      <c r="E46" s="11">
        <f>(E24+E25)/E31</f>
        <v/>
      </c>
      <c r="F46" s="11">
        <f>(F24+F25)/F31</f>
        <v/>
      </c>
      <c r="G46" s="11" t="n"/>
      <c r="H46" s="12">
        <f>IF(NOT(ISNUMBER(F46)),"",IF(F46&gt;=0.05,"BUY",IF(F46&lt;0.02,"SELL","HOLD")))</f>
        <v/>
      </c>
      <c r="I46" s="2" t="inlineStr">
        <is>
          <t>(dividends + buybacks) / market cap (&gt;=5% BUY, &lt;2% SELL)</t>
        </is>
      </c>
    </row>
    <row r="47">
      <c r="B47" s="8" t="inlineStr">
        <is>
          <t>11. CapEx / EBITDA</t>
        </is>
      </c>
      <c r="C47" s="11">
        <f>C26/C7</f>
        <v/>
      </c>
      <c r="D47" s="11">
        <f>D26/D7</f>
        <v/>
      </c>
      <c r="E47" s="11">
        <f>E26/E7</f>
        <v/>
      </c>
      <c r="F47" s="11">
        <f>F26/F7</f>
        <v/>
      </c>
      <c r="G47" s="11" t="n"/>
      <c r="I47" s="2" t="inlineStr">
        <is>
          <t>informational; vs peer median</t>
        </is>
      </c>
    </row>
    <row r="48">
      <c r="B48" s="8" t="inlineStr">
        <is>
          <t>12. CapEx / D&amp;A</t>
        </is>
      </c>
      <c r="C48" s="13">
        <f>C26/C10</f>
        <v/>
      </c>
      <c r="D48" s="13">
        <f>D26/D10</f>
        <v/>
      </c>
      <c r="E48" s="13">
        <f>E26/E10</f>
        <v/>
      </c>
      <c r="F48" s="13">
        <f>F26/F10</f>
        <v/>
      </c>
      <c r="G48" s="13" t="n"/>
      <c r="I48" s="2" t="inlineStr">
        <is>
          <t>informational; vs peer median</t>
        </is>
      </c>
    </row>
    <row r="49">
      <c r="B49" s="8" t="inlineStr">
        <is>
          <t>13. Ratio de endeudamiento</t>
        </is>
      </c>
      <c r="C49" s="11">
        <f>C19/C12</f>
        <v/>
      </c>
      <c r="D49" s="11">
        <f>D19/D12</f>
        <v/>
      </c>
      <c r="E49" s="11">
        <f>E19/E12</f>
        <v/>
      </c>
      <c r="F49" s="11">
        <f>F19/F12</f>
        <v/>
      </c>
      <c r="G49" s="11" t="n"/>
      <c r="H49" s="12">
        <f>IF(NOT(ISNUMBER(F49)),"",IF(F49&lt;=0.3,"BUY",IF(F49&gt;0.6,"SELL","HOLD")))</f>
        <v/>
      </c>
      <c r="I49" s="2" t="inlineStr">
        <is>
          <t>Total debt / total assets (&lt;=30% BUY, &gt;60% SELL)</t>
        </is>
      </c>
    </row>
    <row r="50">
      <c r="B50" s="8" t="inlineStr">
        <is>
          <t>14. Deuda financiera neta / activos (libros)</t>
        </is>
      </c>
      <c r="C50" s="11">
        <f>C20/(C20+C12)</f>
        <v/>
      </c>
      <c r="D50" s="11">
        <f>D20/(D20+D12)</f>
        <v/>
      </c>
      <c r="E50" s="11">
        <f>E20/(E20+E12)</f>
        <v/>
      </c>
      <c r="F50" s="11">
        <f>F20/(F20+F12)</f>
        <v/>
      </c>
      <c r="G50" s="11" t="n"/>
      <c r="H50" s="12">
        <f>IF(NOT(ISNUMBER(F50)),"",IF(F50&lt;=0.2,"BUY",IF(F50&gt;0.4,"SELL","HOLD")))</f>
        <v/>
      </c>
      <c r="I50" s="2" t="inlineStr">
        <is>
          <t>Net debt / (net debt + total assets) (&lt;=20% BUY, &gt;40% SELL)</t>
        </is>
      </c>
    </row>
    <row r="51">
      <c r="B51" s="8" t="inlineStr">
        <is>
          <t>15. Deuda financiera neta / market cap</t>
        </is>
      </c>
      <c r="C51" s="11">
        <f>C20/C31</f>
        <v/>
      </c>
      <c r="D51" s="11">
        <f>D20/D31</f>
        <v/>
      </c>
      <c r="E51" s="11">
        <f>E20/E31</f>
        <v/>
      </c>
      <c r="F51" s="11">
        <f>F20/F31</f>
        <v/>
      </c>
      <c r="G51" s="11" t="n"/>
      <c r="H51" s="12">
        <f>IF(NOT(ISNUMBER(F51)),"",IF(F51&lt;=0.15,"BUY",IF(F51&gt;0.4,"SELL","HOLD")))</f>
        <v/>
      </c>
      <c r="I51" s="2" t="inlineStr">
        <is>
          <t>Net debt / market cap (&lt;=15% BUY, &gt;40% SELL)</t>
        </is>
      </c>
    </row>
    <row r="52">
      <c r="B52" s="8" t="inlineStr">
        <is>
          <t>16. Price estimate (Trefis)</t>
        </is>
      </c>
      <c r="C52" s="10" t="n"/>
      <c r="D52" s="10" t="n"/>
      <c r="E52" s="10" t="n"/>
      <c r="F52" s="10" t="n"/>
      <c r="H52" s="12">
        <f>IF(OR(F52="",F30=""),"",IF(F52&gt;F30*1.1,"BUY",IF(F52&lt;F30*0.9,"SELL","HOLD")))</f>
        <v/>
      </c>
      <c r="I52" s="2" t="inlineStr">
        <is>
          <t>External target vs price (&gt;+10% BUY, &lt;-10% SELL)</t>
        </is>
      </c>
    </row>
    <row r="54">
      <c r="B54" s="16" t="inlineStr">
        <is>
          <t>Run-rate: 2026-03 (run-rate) annualizes reported year-to-date flows; balance-sheet items are the latest reported quarter (point-in-time).</t>
        </is>
      </c>
    </row>
    <row r="55">
      <c r="B55" s="17" t="inlineStr">
        <is>
          <t>Reorganized from Analisis_MSFT_GOOGL_PEP.xlsx (MSFT converted from thousands to millions). Total debt / net debt / dividends / buybacks back-filled from Yahoo Finance.</t>
        </is>
      </c>
    </row>
  </sheetData>
  <conditionalFormatting sqref="H5:H53">
    <cfRule type="cellIs" priority="1" operator="equal" dxfId="0">
      <formula>"BUY"</formula>
    </cfRule>
    <cfRule type="cellIs" priority="2" operator="equal" dxfId="1">
      <formula>"HOLD"</formula>
    </cfRule>
    <cfRule type="cellIs" priority="3" operator="equal" dxfId="2">
      <formula>"SELL"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2026-07-02T21:38:39Z</dcterms:created>
  <dcterms:modified xmlns:dcterms="http://purl.org/dc/terms/" xmlns:xsi="http://www.w3.org/2001/XMLSchema-instance" xsi:type="dcterms:W3CDTF">2026-07-02T21:38:51Z</dcterms:modified>
</cp:coreProperties>
</file>